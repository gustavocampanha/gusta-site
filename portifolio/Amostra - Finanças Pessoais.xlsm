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d.docs.live.net/eac3b3123a3b2443/Documentos/Freelancer/Work's Sample/Amostras Excel/"/>
    </mc:Choice>
  </mc:AlternateContent>
  <xr:revisionPtr revIDLastSave="5" documentId="8_{2C8E4E41-6037-4D1F-AF57-70A3216594CE}" xr6:coauthVersionLast="46" xr6:coauthVersionMax="46" xr10:uidLastSave="{6A0A93AB-94CB-4B59-B1C1-12ECE95D03C7}"/>
  <bookViews>
    <workbookView xWindow="-120" yWindow="-120" windowWidth="20730" windowHeight="11160" firstSheet="4" activeTab="8" xr2:uid="{00000000-000D-0000-FFFF-FFFF00000000}"/>
  </bookViews>
  <sheets>
    <sheet name="Geral" sheetId="3" r:id="rId1"/>
    <sheet name="Receita" sheetId="25" r:id="rId2"/>
    <sheet name="Gráficos Receita" sheetId="22" r:id="rId3"/>
    <sheet name="TabAux" sheetId="19" state="hidden" r:id="rId4"/>
    <sheet name="Gráficos Resultado" sheetId="23" r:id="rId5"/>
    <sheet name="Despesa Fixa" sheetId="26" r:id="rId6"/>
    <sheet name="Gráficos Despesa" sheetId="17" r:id="rId7"/>
    <sheet name="Investimentos" sheetId="27" r:id="rId8"/>
    <sheet name="Gráficos Investimentos" sheetId="24" r:id="rId9"/>
    <sheet name="Janeiro" sheetId="28" r:id="rId10"/>
    <sheet name="Fevereiro" sheetId="2" r:id="rId11"/>
    <sheet name="Março" sheetId="4" r:id="rId12"/>
    <sheet name="Abril" sheetId="5" r:id="rId13"/>
    <sheet name="Maio" sheetId="6" r:id="rId14"/>
    <sheet name="Junho" sheetId="7" r:id="rId15"/>
    <sheet name="Julho" sheetId="8" r:id="rId16"/>
    <sheet name="Agosto" sheetId="9" r:id="rId17"/>
    <sheet name="Setembro" sheetId="10" r:id="rId18"/>
    <sheet name="Outubro" sheetId="11" r:id="rId19"/>
    <sheet name="Novembro" sheetId="12" r:id="rId20"/>
    <sheet name="Dezembro" sheetId="13" r:id="rId21"/>
  </sheets>
  <definedNames>
    <definedName name="_xlnm._FilterDatabase" localSheetId="0" hidden="1">Geral!$U$4:$AF$6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3" i="13" l="1"/>
  <c r="F13" i="13"/>
  <c r="G13" i="13"/>
  <c r="AJ13" i="13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AJ23" i="13"/>
  <c r="AI23" i="13"/>
  <c r="AH23" i="13"/>
  <c r="AG23" i="13"/>
  <c r="AF23" i="13"/>
  <c r="AE23" i="13"/>
  <c r="AD23" i="13"/>
  <c r="AC23" i="13"/>
  <c r="AB23" i="13"/>
  <c r="AA23" i="13"/>
  <c r="Z23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AJ32" i="13"/>
  <c r="AI32" i="13"/>
  <c r="AH32" i="13"/>
  <c r="AG32" i="13"/>
  <c r="AF32" i="13"/>
  <c r="AE32" i="13"/>
  <c r="AD32" i="13"/>
  <c r="AC32" i="13"/>
  <c r="AB32" i="13"/>
  <c r="AA32" i="13"/>
  <c r="Z32" i="13"/>
  <c r="Y32" i="13"/>
  <c r="X32" i="13"/>
  <c r="W32" i="13"/>
  <c r="V32" i="13"/>
  <c r="U32" i="13"/>
  <c r="T32" i="13"/>
  <c r="S32" i="13"/>
  <c r="R32" i="13"/>
  <c r="Q32" i="13"/>
  <c r="P32" i="13"/>
  <c r="O32" i="13"/>
  <c r="N32" i="13"/>
  <c r="M32" i="13"/>
  <c r="L32" i="13"/>
  <c r="K32" i="13"/>
  <c r="J32" i="13"/>
  <c r="I32" i="13"/>
  <c r="H32" i="13"/>
  <c r="G32" i="13"/>
  <c r="F32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AJ44" i="13"/>
  <c r="AI44" i="13"/>
  <c r="AH44" i="13"/>
  <c r="AG44" i="13"/>
  <c r="AF44" i="13"/>
  <c r="AE44" i="13"/>
  <c r="AD44" i="13"/>
  <c r="AC44" i="13"/>
  <c r="AB44" i="13"/>
  <c r="AA44" i="13"/>
  <c r="Z44" i="13"/>
  <c r="Y44" i="13"/>
  <c r="X44" i="13"/>
  <c r="W44" i="13"/>
  <c r="V44" i="13"/>
  <c r="U44" i="13"/>
  <c r="T44" i="13"/>
  <c r="S44" i="13"/>
  <c r="R44" i="13"/>
  <c r="Q44" i="13"/>
  <c r="P44" i="13"/>
  <c r="O44" i="13"/>
  <c r="N44" i="13"/>
  <c r="M44" i="13"/>
  <c r="L44" i="13"/>
  <c r="K44" i="13"/>
  <c r="J44" i="13"/>
  <c r="I44" i="13"/>
  <c r="H44" i="13"/>
  <c r="G44" i="13"/>
  <c r="F44" i="13"/>
  <c r="AJ48" i="13"/>
  <c r="AI48" i="13"/>
  <c r="AH48" i="13"/>
  <c r="AG48" i="13"/>
  <c r="AF48" i="13"/>
  <c r="AE48" i="13"/>
  <c r="AD48" i="13"/>
  <c r="AC48" i="13"/>
  <c r="AB48" i="13"/>
  <c r="AA48" i="13"/>
  <c r="Z48" i="13"/>
  <c r="Y48" i="13"/>
  <c r="X48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J48" i="13"/>
  <c r="I48" i="13"/>
  <c r="H48" i="13"/>
  <c r="G48" i="13"/>
  <c r="F48" i="13"/>
  <c r="AJ52" i="13"/>
  <c r="AI52" i="13"/>
  <c r="AH52" i="13"/>
  <c r="AG52" i="13"/>
  <c r="AF52" i="13"/>
  <c r="AE52" i="13"/>
  <c r="AD52" i="13"/>
  <c r="AC52" i="13"/>
  <c r="AB52" i="13"/>
  <c r="AA52" i="13"/>
  <c r="Z52" i="13"/>
  <c r="Y52" i="13"/>
  <c r="X52" i="13"/>
  <c r="W52" i="13"/>
  <c r="V52" i="13"/>
  <c r="U52" i="13"/>
  <c r="T52" i="13"/>
  <c r="S52" i="13"/>
  <c r="R52" i="13"/>
  <c r="Q52" i="13"/>
  <c r="P52" i="13"/>
  <c r="O52" i="13"/>
  <c r="N52" i="13"/>
  <c r="M52" i="13"/>
  <c r="L52" i="13"/>
  <c r="K52" i="13"/>
  <c r="J52" i="13"/>
  <c r="I52" i="13"/>
  <c r="H52" i="13"/>
  <c r="G52" i="13"/>
  <c r="F52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7" i="13"/>
  <c r="AJ61" i="13"/>
  <c r="AI61" i="13"/>
  <c r="AH61" i="13"/>
  <c r="AG61" i="13"/>
  <c r="AF61" i="13"/>
  <c r="AE61" i="13"/>
  <c r="AD61" i="13"/>
  <c r="AC61" i="13"/>
  <c r="AB61" i="13"/>
  <c r="AA61" i="13"/>
  <c r="Z61" i="13"/>
  <c r="Y61" i="13"/>
  <c r="X61" i="13"/>
  <c r="W61" i="13"/>
  <c r="V61" i="13"/>
  <c r="U61" i="13"/>
  <c r="T61" i="13"/>
  <c r="S61" i="13"/>
  <c r="R61" i="13"/>
  <c r="Q61" i="13"/>
  <c r="P61" i="13"/>
  <c r="O61" i="13"/>
  <c r="N61" i="13"/>
  <c r="M61" i="13"/>
  <c r="L61" i="13"/>
  <c r="K61" i="13"/>
  <c r="J61" i="13"/>
  <c r="I61" i="13"/>
  <c r="H61" i="13"/>
  <c r="G61" i="13"/>
  <c r="F61" i="13"/>
  <c r="AJ65" i="13"/>
  <c r="AI65" i="13"/>
  <c r="AH65" i="13"/>
  <c r="AG65" i="13"/>
  <c r="AF65" i="13"/>
  <c r="AE65" i="13"/>
  <c r="AD65" i="13"/>
  <c r="AC65" i="13"/>
  <c r="AB65" i="13"/>
  <c r="AA65" i="13"/>
  <c r="Z65" i="13"/>
  <c r="Y65" i="13"/>
  <c r="X65" i="13"/>
  <c r="W65" i="13"/>
  <c r="V65" i="13"/>
  <c r="U65" i="13"/>
  <c r="T65" i="13"/>
  <c r="S65" i="13"/>
  <c r="R65" i="13"/>
  <c r="Q65" i="13"/>
  <c r="P65" i="13"/>
  <c r="O65" i="13"/>
  <c r="N65" i="13"/>
  <c r="M65" i="13"/>
  <c r="L65" i="13"/>
  <c r="K65" i="13"/>
  <c r="J65" i="13"/>
  <c r="I65" i="13"/>
  <c r="H65" i="13"/>
  <c r="G65" i="13"/>
  <c r="F65" i="13"/>
  <c r="E65" i="13"/>
  <c r="E61" i="13"/>
  <c r="E57" i="13"/>
  <c r="E52" i="13"/>
  <c r="E48" i="13"/>
  <c r="E44" i="13"/>
  <c r="E36" i="13"/>
  <c r="E32" i="13"/>
  <c r="E27" i="13"/>
  <c r="E23" i="13"/>
  <c r="E13" i="13"/>
  <c r="AJ42" i="13"/>
  <c r="AJ26" i="13"/>
  <c r="H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G13" i="12"/>
  <c r="F1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W44" i="12"/>
  <c r="V44" i="12"/>
  <c r="U44" i="12"/>
  <c r="T44" i="12"/>
  <c r="S44" i="12"/>
  <c r="R44" i="12"/>
  <c r="Q44" i="12"/>
  <c r="P44" i="12"/>
  <c r="O44" i="12"/>
  <c r="N44" i="12"/>
  <c r="M44" i="12"/>
  <c r="L44" i="12"/>
  <c r="K44" i="12"/>
  <c r="J44" i="12"/>
  <c r="I44" i="12"/>
  <c r="H44" i="12"/>
  <c r="G44" i="12"/>
  <c r="F44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W48" i="12"/>
  <c r="V48" i="12"/>
  <c r="U48" i="12"/>
  <c r="T48" i="12"/>
  <c r="S48" i="12"/>
  <c r="R48" i="12"/>
  <c r="Q48" i="12"/>
  <c r="P48" i="12"/>
  <c r="O48" i="12"/>
  <c r="N48" i="12"/>
  <c r="M48" i="12"/>
  <c r="L48" i="12"/>
  <c r="K48" i="12"/>
  <c r="J48" i="12"/>
  <c r="I48" i="12"/>
  <c r="H48" i="12"/>
  <c r="G48" i="12"/>
  <c r="F48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W52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J52" i="12"/>
  <c r="I52" i="12"/>
  <c r="H52" i="12"/>
  <c r="G52" i="12"/>
  <c r="F52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W57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J57" i="12"/>
  <c r="I57" i="12"/>
  <c r="H57" i="12"/>
  <c r="G57" i="12"/>
  <c r="F57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W61" i="12"/>
  <c r="V61" i="12"/>
  <c r="U61" i="12"/>
  <c r="T61" i="12"/>
  <c r="S61" i="12"/>
  <c r="R61" i="12"/>
  <c r="Q61" i="12"/>
  <c r="P61" i="12"/>
  <c r="O61" i="12"/>
  <c r="N61" i="12"/>
  <c r="M61" i="12"/>
  <c r="L61" i="12"/>
  <c r="K61" i="12"/>
  <c r="J61" i="12"/>
  <c r="I61" i="12"/>
  <c r="H61" i="12"/>
  <c r="G61" i="12"/>
  <c r="F61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W65" i="12"/>
  <c r="V65" i="12"/>
  <c r="U65" i="12"/>
  <c r="T65" i="12"/>
  <c r="S65" i="12"/>
  <c r="R65" i="12"/>
  <c r="Q65" i="12"/>
  <c r="P65" i="12"/>
  <c r="O65" i="12"/>
  <c r="N65" i="12"/>
  <c r="M65" i="12"/>
  <c r="L65" i="12"/>
  <c r="K65" i="12"/>
  <c r="J65" i="12"/>
  <c r="I65" i="12"/>
  <c r="H65" i="12"/>
  <c r="G65" i="12"/>
  <c r="F65" i="12"/>
  <c r="E65" i="12"/>
  <c r="E61" i="12"/>
  <c r="E57" i="12"/>
  <c r="E52" i="12"/>
  <c r="E48" i="12"/>
  <c r="E44" i="12"/>
  <c r="E36" i="12"/>
  <c r="E32" i="12"/>
  <c r="E27" i="12"/>
  <c r="E23" i="12"/>
  <c r="E13" i="12"/>
  <c r="AJ42" i="12"/>
  <c r="AJ26" i="12"/>
  <c r="AJ42" i="11"/>
  <c r="AJ26" i="11"/>
  <c r="E65" i="11"/>
  <c r="E61" i="11"/>
  <c r="E57" i="11"/>
  <c r="E52" i="11"/>
  <c r="E48" i="11"/>
  <c r="E44" i="11"/>
  <c r="E36" i="11"/>
  <c r="E32" i="11"/>
  <c r="E27" i="11"/>
  <c r="E23" i="11"/>
  <c r="E13" i="11"/>
  <c r="AJ42" i="10"/>
  <c r="AJ26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F23" i="10"/>
  <c r="AI23" i="10"/>
  <c r="AH23" i="10"/>
  <c r="AG23" i="10"/>
  <c r="AF23" i="10"/>
  <c r="AE23" i="10"/>
  <c r="AD23" i="10"/>
  <c r="AC23" i="10"/>
  <c r="AB23" i="10"/>
  <c r="AA23" i="10"/>
  <c r="Z23" i="10"/>
  <c r="Y23" i="10"/>
  <c r="X23" i="10"/>
  <c r="W23" i="10"/>
  <c r="V23" i="10"/>
  <c r="U23" i="10"/>
  <c r="T23" i="10"/>
  <c r="S23" i="10"/>
  <c r="R23" i="10"/>
  <c r="Q23" i="10"/>
  <c r="P23" i="10"/>
  <c r="O23" i="10"/>
  <c r="N23" i="10"/>
  <c r="M23" i="10"/>
  <c r="L23" i="10"/>
  <c r="K23" i="10"/>
  <c r="J23" i="10"/>
  <c r="I23" i="10"/>
  <c r="H23" i="10"/>
  <c r="G23" i="10"/>
  <c r="F27" i="10"/>
  <c r="E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AJ32" i="10"/>
  <c r="AI32" i="10"/>
  <c r="AH32" i="10"/>
  <c r="AG32" i="10"/>
  <c r="AF32" i="10"/>
  <c r="AE32" i="10"/>
  <c r="AD32" i="10"/>
  <c r="AC32" i="10"/>
  <c r="AB32" i="10"/>
  <c r="AA32" i="10"/>
  <c r="Z32" i="10"/>
  <c r="Y32" i="10"/>
  <c r="X32" i="10"/>
  <c r="W32" i="10"/>
  <c r="V32" i="10"/>
  <c r="U32" i="10"/>
  <c r="T32" i="10"/>
  <c r="S32" i="10"/>
  <c r="R32" i="10"/>
  <c r="Q32" i="10"/>
  <c r="P32" i="10"/>
  <c r="O32" i="10"/>
  <c r="N32" i="10"/>
  <c r="M32" i="10"/>
  <c r="L32" i="10"/>
  <c r="K32" i="10"/>
  <c r="J32" i="10"/>
  <c r="I32" i="10"/>
  <c r="H32" i="10"/>
  <c r="G32" i="10"/>
  <c r="F32" i="10"/>
  <c r="AJ36" i="10"/>
  <c r="AI36" i="10"/>
  <c r="AH36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AJ44" i="10"/>
  <c r="AI44" i="10"/>
  <c r="AH44" i="10"/>
  <c r="AG44" i="10"/>
  <c r="AF44" i="10"/>
  <c r="AE44" i="10"/>
  <c r="AD44" i="10"/>
  <c r="AC44" i="10"/>
  <c r="AB44" i="10"/>
  <c r="AA44" i="10"/>
  <c r="Z44" i="10"/>
  <c r="Y44" i="10"/>
  <c r="X44" i="10"/>
  <c r="W44" i="10"/>
  <c r="V44" i="10"/>
  <c r="U44" i="10"/>
  <c r="T44" i="10"/>
  <c r="S44" i="10"/>
  <c r="R44" i="10"/>
  <c r="Q44" i="10"/>
  <c r="P44" i="10"/>
  <c r="O44" i="10"/>
  <c r="N44" i="10"/>
  <c r="M44" i="10"/>
  <c r="L44" i="10"/>
  <c r="K44" i="10"/>
  <c r="J44" i="10"/>
  <c r="I44" i="10"/>
  <c r="H44" i="10"/>
  <c r="G44" i="10"/>
  <c r="F44" i="10"/>
  <c r="AJ48" i="10"/>
  <c r="AI48" i="10"/>
  <c r="AH48" i="10"/>
  <c r="AG48" i="10"/>
  <c r="AF48" i="10"/>
  <c r="AE48" i="10"/>
  <c r="AD48" i="10"/>
  <c r="AC48" i="10"/>
  <c r="AB48" i="10"/>
  <c r="AA48" i="10"/>
  <c r="Z48" i="10"/>
  <c r="Y48" i="10"/>
  <c r="X48" i="10"/>
  <c r="W48" i="10"/>
  <c r="V48" i="10"/>
  <c r="U48" i="10"/>
  <c r="T48" i="10"/>
  <c r="S48" i="10"/>
  <c r="R48" i="10"/>
  <c r="Q48" i="10"/>
  <c r="P48" i="10"/>
  <c r="O48" i="10"/>
  <c r="N48" i="10"/>
  <c r="M48" i="10"/>
  <c r="L48" i="10"/>
  <c r="K48" i="10"/>
  <c r="J48" i="10"/>
  <c r="I48" i="10"/>
  <c r="H48" i="10"/>
  <c r="G48" i="10"/>
  <c r="F48" i="10"/>
  <c r="AJ52" i="10"/>
  <c r="AI52" i="10"/>
  <c r="AH52" i="10"/>
  <c r="AG52" i="10"/>
  <c r="AF52" i="10"/>
  <c r="AE52" i="10"/>
  <c r="AD52" i="10"/>
  <c r="AC52" i="10"/>
  <c r="AB52" i="10"/>
  <c r="AA52" i="10"/>
  <c r="Z52" i="10"/>
  <c r="Y52" i="10"/>
  <c r="X52" i="10"/>
  <c r="W52" i="10"/>
  <c r="V52" i="10"/>
  <c r="U52" i="10"/>
  <c r="T52" i="10"/>
  <c r="S52" i="10"/>
  <c r="R52" i="10"/>
  <c r="Q52" i="10"/>
  <c r="P52" i="10"/>
  <c r="O52" i="10"/>
  <c r="N52" i="10"/>
  <c r="M52" i="10"/>
  <c r="L52" i="10"/>
  <c r="K52" i="10"/>
  <c r="J52" i="10"/>
  <c r="I52" i="10"/>
  <c r="H52" i="10"/>
  <c r="G52" i="10"/>
  <c r="F52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W57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F57" i="10"/>
  <c r="AJ61" i="10"/>
  <c r="AI61" i="10"/>
  <c r="AH61" i="10"/>
  <c r="AG61" i="10"/>
  <c r="AF61" i="10"/>
  <c r="AE61" i="10"/>
  <c r="AD61" i="10"/>
  <c r="AC61" i="10"/>
  <c r="AB61" i="10"/>
  <c r="AA61" i="10"/>
  <c r="Z61" i="10"/>
  <c r="Y61" i="10"/>
  <c r="X61" i="10"/>
  <c r="W61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AJ65" i="10"/>
  <c r="AI65" i="10"/>
  <c r="AH65" i="10"/>
  <c r="AG65" i="10"/>
  <c r="AF65" i="10"/>
  <c r="AE65" i="10"/>
  <c r="AD65" i="10"/>
  <c r="AC65" i="10"/>
  <c r="AB65" i="10"/>
  <c r="AA65" i="10"/>
  <c r="Z65" i="10"/>
  <c r="Y65" i="10"/>
  <c r="X65" i="10"/>
  <c r="W65" i="10"/>
  <c r="V65" i="10"/>
  <c r="U65" i="10"/>
  <c r="T65" i="10"/>
  <c r="S65" i="10"/>
  <c r="R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E61" i="10"/>
  <c r="E57" i="10"/>
  <c r="E52" i="10"/>
  <c r="E48" i="10"/>
  <c r="E44" i="10"/>
  <c r="E36" i="10"/>
  <c r="E32" i="10"/>
  <c r="E23" i="10"/>
  <c r="E13" i="10"/>
  <c r="F48" i="9"/>
  <c r="F44" i="9"/>
  <c r="F36" i="9"/>
  <c r="F32" i="9"/>
  <c r="F27" i="9"/>
  <c r="F23" i="9"/>
  <c r="F13" i="9"/>
  <c r="AJ42" i="9"/>
  <c r="AJ44" i="9" s="1"/>
  <c r="AJ26" i="9"/>
  <c r="AJ65" i="9"/>
  <c r="AI65" i="9"/>
  <c r="AH65" i="9"/>
  <c r="AG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AJ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AJ57" i="9"/>
  <c r="AI57" i="9"/>
  <c r="AH57" i="9"/>
  <c r="AG57" i="9"/>
  <c r="AF57" i="9"/>
  <c r="AE57" i="9"/>
  <c r="AD57" i="9"/>
  <c r="AC57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AJ52" i="9"/>
  <c r="AI52" i="9"/>
  <c r="AH52" i="9"/>
  <c r="AG52" i="9"/>
  <c r="AF52" i="9"/>
  <c r="AE52" i="9"/>
  <c r="AD52" i="9"/>
  <c r="AC52" i="9"/>
  <c r="AB52" i="9"/>
  <c r="AA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AJ48" i="9"/>
  <c r="AI48" i="9"/>
  <c r="AH48" i="9"/>
  <c r="AG48" i="9"/>
  <c r="AF48" i="9"/>
  <c r="AE48" i="9"/>
  <c r="AD48" i="9"/>
  <c r="AC48" i="9"/>
  <c r="AB48" i="9"/>
  <c r="AA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H48" i="9"/>
  <c r="G48" i="9"/>
  <c r="E48" i="9"/>
  <c r="AI44" i="9"/>
  <c r="AH44" i="9"/>
  <c r="AG44" i="9"/>
  <c r="AF44" i="9"/>
  <c r="AE44" i="9"/>
  <c r="AD44" i="9"/>
  <c r="AC44" i="9"/>
  <c r="AB44" i="9"/>
  <c r="AA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E44" i="9"/>
  <c r="AJ36" i="9"/>
  <c r="AI36" i="9"/>
  <c r="AH36" i="9"/>
  <c r="AG36" i="9"/>
  <c r="AF36" i="9"/>
  <c r="AE36" i="9"/>
  <c r="AD36" i="9"/>
  <c r="AC36" i="9"/>
  <c r="AB36" i="9"/>
  <c r="AA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E36" i="9"/>
  <c r="AJ32" i="9"/>
  <c r="AI32" i="9"/>
  <c r="AH32" i="9"/>
  <c r="AG32" i="9"/>
  <c r="AF32" i="9"/>
  <c r="AE32" i="9"/>
  <c r="AD32" i="9"/>
  <c r="AC32" i="9"/>
  <c r="AB32" i="9"/>
  <c r="AA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E32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E27" i="9"/>
  <c r="AI23" i="9"/>
  <c r="AH23" i="9"/>
  <c r="AG23" i="9"/>
  <c r="AF23" i="9"/>
  <c r="AE23" i="9"/>
  <c r="AD23" i="9"/>
  <c r="AC23" i="9"/>
  <c r="AB23" i="9"/>
  <c r="AA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E23" i="9"/>
  <c r="G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E13" i="9"/>
  <c r="AJ65" i="8"/>
  <c r="AI65" i="8"/>
  <c r="AH65" i="8"/>
  <c r="AG65" i="8"/>
  <c r="AF65" i="8"/>
  <c r="AE65" i="8"/>
  <c r="AD65" i="8"/>
  <c r="AC65" i="8"/>
  <c r="AB65" i="8"/>
  <c r="AA65" i="8"/>
  <c r="Z65" i="8"/>
  <c r="Y65" i="8"/>
  <c r="X65" i="8"/>
  <c r="W65" i="8"/>
  <c r="V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AJ61" i="8"/>
  <c r="AI61" i="8"/>
  <c r="AH61" i="8"/>
  <c r="AG61" i="8"/>
  <c r="AF61" i="8"/>
  <c r="AE61" i="8"/>
  <c r="AD61" i="8"/>
  <c r="AC61" i="8"/>
  <c r="AB61" i="8"/>
  <c r="AA61" i="8"/>
  <c r="Z61" i="8"/>
  <c r="Y61" i="8"/>
  <c r="X61" i="8"/>
  <c r="W61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AJ57" i="8"/>
  <c r="AI57" i="8"/>
  <c r="AH57" i="8"/>
  <c r="AG57" i="8"/>
  <c r="AF57" i="8"/>
  <c r="AE57" i="8"/>
  <c r="AD57" i="8"/>
  <c r="AC57" i="8"/>
  <c r="AB57" i="8"/>
  <c r="AA57" i="8"/>
  <c r="Z57" i="8"/>
  <c r="Y57" i="8"/>
  <c r="X57" i="8"/>
  <c r="W57" i="8"/>
  <c r="V57" i="8"/>
  <c r="U57" i="8"/>
  <c r="T57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AJ52" i="8"/>
  <c r="AI52" i="8"/>
  <c r="AH52" i="8"/>
  <c r="AG52" i="8"/>
  <c r="AF52" i="8"/>
  <c r="AE52" i="8"/>
  <c r="AD52" i="8"/>
  <c r="AC52" i="8"/>
  <c r="AB52" i="8"/>
  <c r="AA52" i="8"/>
  <c r="Z52" i="8"/>
  <c r="Y52" i="8"/>
  <c r="X52" i="8"/>
  <c r="W52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AJ48" i="8"/>
  <c r="AI48" i="8"/>
  <c r="AH48" i="8"/>
  <c r="AG48" i="8"/>
  <c r="AF48" i="8"/>
  <c r="AE48" i="8"/>
  <c r="AD48" i="8"/>
  <c r="AC48" i="8"/>
  <c r="AB48" i="8"/>
  <c r="AA48" i="8"/>
  <c r="Z48" i="8"/>
  <c r="Y48" i="8"/>
  <c r="X48" i="8"/>
  <c r="W48" i="8"/>
  <c r="V48" i="8"/>
  <c r="U48" i="8"/>
  <c r="T48" i="8"/>
  <c r="S48" i="8"/>
  <c r="R48" i="8"/>
  <c r="Q48" i="8"/>
  <c r="P48" i="8"/>
  <c r="O48" i="8"/>
  <c r="N48" i="8"/>
  <c r="M48" i="8"/>
  <c r="L48" i="8"/>
  <c r="K48" i="8"/>
  <c r="J48" i="8"/>
  <c r="I48" i="8"/>
  <c r="H48" i="8"/>
  <c r="G48" i="8"/>
  <c r="F48" i="8"/>
  <c r="E48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AJ36" i="8"/>
  <c r="AI36" i="8"/>
  <c r="AH36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AJ32" i="8"/>
  <c r="AI32" i="8"/>
  <c r="AH32" i="8"/>
  <c r="AG32" i="8"/>
  <c r="AF32" i="8"/>
  <c r="AE32" i="8"/>
  <c r="AD32" i="8"/>
  <c r="AC32" i="8"/>
  <c r="AB32" i="8"/>
  <c r="AA32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M13" i="8"/>
  <c r="J13" i="8"/>
  <c r="F13" i="8"/>
  <c r="AJ42" i="8"/>
  <c r="AJ26" i="8"/>
  <c r="AI13" i="8"/>
  <c r="AH13" i="8"/>
  <c r="AG13" i="8"/>
  <c r="AF13" i="8"/>
  <c r="AE13" i="8"/>
  <c r="AD13" i="8"/>
  <c r="AC13" i="8"/>
  <c r="AB13" i="8"/>
  <c r="AA13" i="8"/>
  <c r="Z13" i="8"/>
  <c r="Y13" i="8"/>
  <c r="X13" i="8"/>
  <c r="W13" i="8"/>
  <c r="V13" i="8"/>
  <c r="U13" i="8"/>
  <c r="T13" i="8"/>
  <c r="S13" i="8"/>
  <c r="R13" i="8"/>
  <c r="Q13" i="8"/>
  <c r="P13" i="8"/>
  <c r="O13" i="8"/>
  <c r="N13" i="8"/>
  <c r="L13" i="8"/>
  <c r="K13" i="8"/>
  <c r="I13" i="8"/>
  <c r="H13" i="8"/>
  <c r="G13" i="8"/>
  <c r="E13" i="8"/>
  <c r="K32" i="7"/>
  <c r="J13" i="7"/>
  <c r="H13" i="7"/>
  <c r="G61" i="7"/>
  <c r="G65" i="7"/>
  <c r="AJ65" i="7"/>
  <c r="AI65" i="7"/>
  <c r="AH65" i="7"/>
  <c r="AG65" i="7"/>
  <c r="AF65" i="7"/>
  <c r="AE65" i="7"/>
  <c r="AD65" i="7"/>
  <c r="AC65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F65" i="7"/>
  <c r="AJ61" i="7"/>
  <c r="AI61" i="7"/>
  <c r="AH61" i="7"/>
  <c r="AG61" i="7"/>
  <c r="AF61" i="7"/>
  <c r="AE61" i="7"/>
  <c r="AD61" i="7"/>
  <c r="AC61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F61" i="7"/>
  <c r="AJ57" i="7"/>
  <c r="AI57" i="7"/>
  <c r="AH57" i="7"/>
  <c r="AG57" i="7"/>
  <c r="AF57" i="7"/>
  <c r="AE57" i="7"/>
  <c r="AD57" i="7"/>
  <c r="AC57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AJ48" i="7"/>
  <c r="AI48" i="7"/>
  <c r="AH48" i="7"/>
  <c r="AG48" i="7"/>
  <c r="AF48" i="7"/>
  <c r="AE48" i="7"/>
  <c r="AD48" i="7"/>
  <c r="AC48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AJ44" i="7"/>
  <c r="AI44" i="7"/>
  <c r="AH44" i="7"/>
  <c r="AG44" i="7"/>
  <c r="AF44" i="7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J32" i="7"/>
  <c r="I32" i="7"/>
  <c r="H32" i="7"/>
  <c r="G32" i="7"/>
  <c r="F32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I13" i="7"/>
  <c r="G13" i="7"/>
  <c r="F13" i="7"/>
  <c r="AJ26" i="7"/>
  <c r="AJ42" i="7"/>
  <c r="E65" i="7"/>
  <c r="E61" i="7"/>
  <c r="E57" i="7"/>
  <c r="E52" i="7"/>
  <c r="E48" i="7"/>
  <c r="E44" i="7"/>
  <c r="E36" i="7"/>
  <c r="E32" i="7"/>
  <c r="E27" i="7"/>
  <c r="E23" i="7"/>
  <c r="E13" i="7"/>
  <c r="H65" i="6"/>
  <c r="AJ65" i="6"/>
  <c r="AI65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G65" i="6"/>
  <c r="F65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AJ57" i="6"/>
  <c r="AI57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AJ52" i="6"/>
  <c r="AI52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AJ48" i="6"/>
  <c r="AI48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AJ44" i="6"/>
  <c r="AI4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AJ36" i="6"/>
  <c r="AI36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AJ32" i="6"/>
  <c r="AI32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AJ27" i="6"/>
  <c r="AI27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AJ23" i="6"/>
  <c r="AI23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AJ13" i="6"/>
  <c r="AI13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65" i="6"/>
  <c r="E61" i="6"/>
  <c r="E57" i="6"/>
  <c r="E52" i="6"/>
  <c r="E48" i="6"/>
  <c r="E44" i="6"/>
  <c r="E36" i="6"/>
  <c r="E32" i="6"/>
  <c r="E23" i="6"/>
  <c r="E13" i="6"/>
  <c r="AJ42" i="6"/>
  <c r="AJ26" i="6"/>
  <c r="AJ65" i="5"/>
  <c r="AI65" i="5"/>
  <c r="AH65" i="5"/>
  <c r="AG65" i="5"/>
  <c r="AF65" i="5"/>
  <c r="AE65" i="5"/>
  <c r="AD65" i="5"/>
  <c r="AC65" i="5"/>
  <c r="AB65" i="5"/>
  <c r="AA65" i="5"/>
  <c r="Z65" i="5"/>
  <c r="Y65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AJ61" i="5"/>
  <c r="AI61" i="5"/>
  <c r="AH61" i="5"/>
  <c r="AG61" i="5"/>
  <c r="AF61" i="5"/>
  <c r="AE61" i="5"/>
  <c r="AD61" i="5"/>
  <c r="AC61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AJ57" i="5"/>
  <c r="AI57" i="5"/>
  <c r="AH57" i="5"/>
  <c r="AG57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AJ52" i="5"/>
  <c r="AI52" i="5"/>
  <c r="AH52" i="5"/>
  <c r="AG52" i="5"/>
  <c r="AF52" i="5"/>
  <c r="AE52" i="5"/>
  <c r="AD52" i="5"/>
  <c r="AC52" i="5"/>
  <c r="AB52" i="5"/>
  <c r="AA52" i="5"/>
  <c r="Z52" i="5"/>
  <c r="Y52" i="5"/>
  <c r="X52" i="5"/>
  <c r="W52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AJ48" i="5"/>
  <c r="AI48" i="5"/>
  <c r="AH48" i="5"/>
  <c r="AG48" i="5"/>
  <c r="AF48" i="5"/>
  <c r="AE48" i="5"/>
  <c r="AD48" i="5"/>
  <c r="AC48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AJ44" i="5"/>
  <c r="AI44" i="5"/>
  <c r="AH44" i="5"/>
  <c r="AG44" i="5"/>
  <c r="AF44" i="5"/>
  <c r="AE44" i="5"/>
  <c r="AD44" i="5"/>
  <c r="AC44" i="5"/>
  <c r="AB44" i="5"/>
  <c r="AA44" i="5"/>
  <c r="Z44" i="5"/>
  <c r="Y44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AJ36" i="5"/>
  <c r="AI36" i="5"/>
  <c r="AH36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G23" i="5"/>
  <c r="F23" i="5"/>
  <c r="E27" i="5"/>
  <c r="N23" i="5"/>
  <c r="J23" i="5"/>
  <c r="H23" i="5"/>
  <c r="E23" i="5"/>
  <c r="L13" i="5"/>
  <c r="J13" i="5"/>
  <c r="F13" i="5"/>
  <c r="E13" i="5"/>
  <c r="F23" i="4"/>
  <c r="G23" i="2"/>
  <c r="F23" i="28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M23" i="5"/>
  <c r="L23" i="5"/>
  <c r="K23" i="5"/>
  <c r="I23" i="5"/>
  <c r="G13" i="5"/>
  <c r="AJ13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K13" i="5"/>
  <c r="I13" i="5"/>
  <c r="H13" i="5"/>
  <c r="AJ42" i="5"/>
  <c r="AJ26" i="5"/>
  <c r="M32" i="4"/>
  <c r="M13" i="4"/>
  <c r="L23" i="4"/>
  <c r="I23" i="4"/>
  <c r="G13" i="4"/>
  <c r="J13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L32" i="4"/>
  <c r="K32" i="4"/>
  <c r="J32" i="4"/>
  <c r="I32" i="4"/>
  <c r="H32" i="4"/>
  <c r="G32" i="4"/>
  <c r="F32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K23" i="4"/>
  <c r="J23" i="4"/>
  <c r="H23" i="4"/>
  <c r="G2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L13" i="4"/>
  <c r="K13" i="4"/>
  <c r="I13" i="4"/>
  <c r="H13" i="4"/>
  <c r="F13" i="4"/>
  <c r="E65" i="4"/>
  <c r="E61" i="4"/>
  <c r="E57" i="4"/>
  <c r="E52" i="4"/>
  <c r="E48" i="4"/>
  <c r="E44" i="4"/>
  <c r="E36" i="4"/>
  <c r="E32" i="4"/>
  <c r="E27" i="4"/>
  <c r="E23" i="4"/>
  <c r="E13" i="4"/>
  <c r="AJ42" i="4"/>
  <c r="AJ26" i="4"/>
  <c r="AJ26" i="2"/>
  <c r="AJ42" i="2"/>
  <c r="AJ44" i="2" s="1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AJ66" i="2" s="1"/>
  <c r="F66" i="2"/>
  <c r="E66" i="2"/>
  <c r="AJ65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E61" i="2"/>
  <c r="AJ61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E44" i="2"/>
  <c r="AI4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F23" i="2"/>
  <c r="E2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G65" i="28"/>
  <c r="E13" i="28"/>
  <c r="AJ42" i="28"/>
  <c r="AJ44" i="28" s="1"/>
  <c r="AJ65" i="28"/>
  <c r="AI65" i="28"/>
  <c r="AH65" i="28"/>
  <c r="AG65" i="28"/>
  <c r="AF65" i="28"/>
  <c r="AE65" i="28"/>
  <c r="AD65" i="28"/>
  <c r="AC65" i="28"/>
  <c r="AB65" i="28"/>
  <c r="AA65" i="28"/>
  <c r="Z65" i="28"/>
  <c r="Y65" i="28"/>
  <c r="X65" i="28"/>
  <c r="W65" i="28"/>
  <c r="V65" i="28"/>
  <c r="U65" i="28"/>
  <c r="T65" i="28"/>
  <c r="S65" i="28"/>
  <c r="R65" i="28"/>
  <c r="Q65" i="28"/>
  <c r="P65" i="28"/>
  <c r="O65" i="28"/>
  <c r="N65" i="28"/>
  <c r="M65" i="28"/>
  <c r="L65" i="28"/>
  <c r="K65" i="28"/>
  <c r="J65" i="28"/>
  <c r="I65" i="28"/>
  <c r="H65" i="28"/>
  <c r="F65" i="28"/>
  <c r="E65" i="28"/>
  <c r="AJ61" i="28"/>
  <c r="AI61" i="28"/>
  <c r="AH61" i="28"/>
  <c r="AG61" i="28"/>
  <c r="AF61" i="28"/>
  <c r="AE61" i="28"/>
  <c r="AD61" i="28"/>
  <c r="AC61" i="28"/>
  <c r="AB61" i="28"/>
  <c r="AA61" i="28"/>
  <c r="Z61" i="28"/>
  <c r="Y61" i="28"/>
  <c r="X61" i="28"/>
  <c r="W61" i="28"/>
  <c r="V61" i="28"/>
  <c r="U61" i="28"/>
  <c r="T61" i="28"/>
  <c r="S61" i="28"/>
  <c r="R61" i="28"/>
  <c r="Q61" i="28"/>
  <c r="P61" i="28"/>
  <c r="O61" i="28"/>
  <c r="N61" i="28"/>
  <c r="M61" i="28"/>
  <c r="L61" i="28"/>
  <c r="K61" i="28"/>
  <c r="J61" i="28"/>
  <c r="I61" i="28"/>
  <c r="H61" i="28"/>
  <c r="G61" i="28"/>
  <c r="F61" i="28"/>
  <c r="E61" i="28"/>
  <c r="AJ57" i="28"/>
  <c r="AI57" i="28"/>
  <c r="AH57" i="28"/>
  <c r="AG57" i="28"/>
  <c r="AF57" i="28"/>
  <c r="AE57" i="28"/>
  <c r="AD57" i="28"/>
  <c r="AC57" i="28"/>
  <c r="AB57" i="28"/>
  <c r="AA57" i="28"/>
  <c r="Z57" i="28"/>
  <c r="Y57" i="28"/>
  <c r="X57" i="28"/>
  <c r="W57" i="28"/>
  <c r="V57" i="28"/>
  <c r="U57" i="28"/>
  <c r="T57" i="28"/>
  <c r="S57" i="28"/>
  <c r="R57" i="28"/>
  <c r="Q57" i="28"/>
  <c r="P57" i="28"/>
  <c r="O57" i="28"/>
  <c r="N57" i="28"/>
  <c r="M57" i="28"/>
  <c r="L57" i="28"/>
  <c r="K57" i="28"/>
  <c r="J57" i="28"/>
  <c r="I57" i="28"/>
  <c r="H57" i="28"/>
  <c r="G57" i="28"/>
  <c r="F57" i="28"/>
  <c r="E57" i="28"/>
  <c r="AJ52" i="28"/>
  <c r="AI52" i="28"/>
  <c r="AH52" i="28"/>
  <c r="AG52" i="28"/>
  <c r="AF52" i="28"/>
  <c r="AE52" i="28"/>
  <c r="AD52" i="28"/>
  <c r="AC52" i="28"/>
  <c r="AB52" i="28"/>
  <c r="AA52" i="28"/>
  <c r="Z52" i="28"/>
  <c r="Y52" i="28"/>
  <c r="X52" i="28"/>
  <c r="W52" i="28"/>
  <c r="V52" i="28"/>
  <c r="U52" i="28"/>
  <c r="T52" i="28"/>
  <c r="S52" i="28"/>
  <c r="R52" i="28"/>
  <c r="Q52" i="28"/>
  <c r="P52" i="28"/>
  <c r="O52" i="28"/>
  <c r="N52" i="28"/>
  <c r="M52" i="28"/>
  <c r="L52" i="28"/>
  <c r="K52" i="28"/>
  <c r="J52" i="28"/>
  <c r="I52" i="28"/>
  <c r="H52" i="28"/>
  <c r="G52" i="28"/>
  <c r="F52" i="28"/>
  <c r="E52" i="28"/>
  <c r="AJ48" i="28"/>
  <c r="AI48" i="28"/>
  <c r="AH48" i="28"/>
  <c r="AG48" i="28"/>
  <c r="AF48" i="28"/>
  <c r="AE48" i="28"/>
  <c r="AD48" i="28"/>
  <c r="AC48" i="28"/>
  <c r="AB48" i="28"/>
  <c r="AA48" i="28"/>
  <c r="Z48" i="28"/>
  <c r="Y48" i="28"/>
  <c r="X48" i="28"/>
  <c r="W48" i="28"/>
  <c r="V48" i="28"/>
  <c r="U48" i="28"/>
  <c r="T48" i="28"/>
  <c r="S48" i="28"/>
  <c r="R48" i="28"/>
  <c r="Q48" i="28"/>
  <c r="P48" i="28"/>
  <c r="O48" i="28"/>
  <c r="N48" i="28"/>
  <c r="M48" i="28"/>
  <c r="L48" i="28"/>
  <c r="K48" i="28"/>
  <c r="J48" i="28"/>
  <c r="I48" i="28"/>
  <c r="H48" i="28"/>
  <c r="G48" i="28"/>
  <c r="F48" i="28"/>
  <c r="E48" i="28"/>
  <c r="AI44" i="28"/>
  <c r="AH44" i="28"/>
  <c r="AG44" i="28"/>
  <c r="AF44" i="28"/>
  <c r="AE44" i="28"/>
  <c r="AD44" i="28"/>
  <c r="AC44" i="28"/>
  <c r="AB44" i="28"/>
  <c r="AA44" i="28"/>
  <c r="Z44" i="28"/>
  <c r="Y44" i="28"/>
  <c r="X44" i="28"/>
  <c r="W44" i="28"/>
  <c r="V44" i="28"/>
  <c r="U44" i="28"/>
  <c r="T44" i="28"/>
  <c r="S44" i="28"/>
  <c r="R44" i="28"/>
  <c r="Q44" i="28"/>
  <c r="P44" i="28"/>
  <c r="O44" i="28"/>
  <c r="N44" i="28"/>
  <c r="M44" i="28"/>
  <c r="L44" i="28"/>
  <c r="K44" i="28"/>
  <c r="J44" i="28"/>
  <c r="I44" i="28"/>
  <c r="H44" i="28"/>
  <c r="G44" i="28"/>
  <c r="F44" i="28"/>
  <c r="E44" i="28"/>
  <c r="AJ36" i="28"/>
  <c r="AI36" i="28"/>
  <c r="AH36" i="28"/>
  <c r="AG36" i="28"/>
  <c r="AF36" i="28"/>
  <c r="AE36" i="28"/>
  <c r="AD36" i="28"/>
  <c r="AC36" i="28"/>
  <c r="AB36" i="28"/>
  <c r="AA36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I36" i="28"/>
  <c r="H36" i="28"/>
  <c r="G36" i="28"/>
  <c r="F36" i="28"/>
  <c r="E36" i="28"/>
  <c r="AJ32" i="28"/>
  <c r="AI32" i="28"/>
  <c r="AH32" i="28"/>
  <c r="AG32" i="28"/>
  <c r="AF32" i="28"/>
  <c r="AE32" i="28"/>
  <c r="AD32" i="28"/>
  <c r="AC32" i="28"/>
  <c r="AB32" i="28"/>
  <c r="AA32" i="28"/>
  <c r="Z32" i="28"/>
  <c r="Y32" i="28"/>
  <c r="X32" i="28"/>
  <c r="W32" i="28"/>
  <c r="V32" i="28"/>
  <c r="U32" i="28"/>
  <c r="T32" i="28"/>
  <c r="S32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F32" i="28"/>
  <c r="E32" i="28"/>
  <c r="E27" i="28"/>
  <c r="AJ25" i="28"/>
  <c r="AJ26" i="28"/>
  <c r="AI27" i="28"/>
  <c r="AH27" i="28"/>
  <c r="AG27" i="28"/>
  <c r="AF27" i="28"/>
  <c r="AE27" i="28"/>
  <c r="AD27" i="28"/>
  <c r="AC27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F27" i="28"/>
  <c r="AI23" i="28"/>
  <c r="AH23" i="28"/>
  <c r="AG23" i="28"/>
  <c r="AF23" i="28"/>
  <c r="AE23" i="28"/>
  <c r="AD23" i="28"/>
  <c r="AC23" i="28"/>
  <c r="AB23" i="28"/>
  <c r="AA23" i="28"/>
  <c r="Z23" i="28"/>
  <c r="Y23" i="28"/>
  <c r="X23" i="28"/>
  <c r="W23" i="28"/>
  <c r="V23" i="28"/>
  <c r="U23" i="28"/>
  <c r="T23" i="28"/>
  <c r="S23" i="28"/>
  <c r="R23" i="28"/>
  <c r="Q23" i="28"/>
  <c r="P23" i="28"/>
  <c r="O23" i="28"/>
  <c r="N23" i="28"/>
  <c r="M23" i="28"/>
  <c r="L23" i="28"/>
  <c r="K23" i="28"/>
  <c r="J23" i="28"/>
  <c r="I23" i="28"/>
  <c r="H23" i="28"/>
  <c r="G23" i="28"/>
  <c r="E23" i="28"/>
  <c r="AI13" i="28"/>
  <c r="AH13" i="28"/>
  <c r="AG13" i="28"/>
  <c r="AF13" i="28"/>
  <c r="AE13" i="28"/>
  <c r="AD13" i="28"/>
  <c r="AC13" i="28"/>
  <c r="AB13" i="28"/>
  <c r="AA13" i="28"/>
  <c r="Z13" i="28"/>
  <c r="Y13" i="28"/>
  <c r="X13" i="28"/>
  <c r="W13" i="28"/>
  <c r="V13" i="28"/>
  <c r="U13" i="28"/>
  <c r="T13" i="28"/>
  <c r="S13" i="28"/>
  <c r="R13" i="28"/>
  <c r="Q13" i="28"/>
  <c r="P13" i="28"/>
  <c r="O13" i="28"/>
  <c r="N13" i="28"/>
  <c r="M13" i="28"/>
  <c r="L13" i="28"/>
  <c r="K13" i="28"/>
  <c r="J13" i="28"/>
  <c r="I13" i="28"/>
  <c r="H13" i="28"/>
  <c r="G13" i="28"/>
  <c r="F13" i="28"/>
  <c r="AJ5" i="28" l="1"/>
  <c r="AJ6" i="28"/>
  <c r="AJ7" i="28"/>
  <c r="AJ8" i="28"/>
  <c r="AJ9" i="28"/>
  <c r="AJ10" i="28"/>
  <c r="AJ11" i="28"/>
  <c r="AJ12" i="28"/>
  <c r="AJ14" i="28"/>
  <c r="AJ15" i="28"/>
  <c r="AJ16" i="28"/>
  <c r="AJ17" i="28"/>
  <c r="AJ18" i="28"/>
  <c r="AJ19" i="28"/>
  <c r="AJ20" i="28"/>
  <c r="AJ21" i="28"/>
  <c r="AJ22" i="28"/>
  <c r="AJ24" i="28"/>
  <c r="AJ27" i="28" s="1"/>
  <c r="F68" i="3" s="1"/>
  <c r="AJ28" i="28"/>
  <c r="AJ29" i="28"/>
  <c r="AJ30" i="28"/>
  <c r="AJ31" i="28"/>
  <c r="F73" i="3"/>
  <c r="AJ33" i="28"/>
  <c r="AJ34" i="28"/>
  <c r="AJ35" i="28"/>
  <c r="F53" i="3"/>
  <c r="AJ37" i="28"/>
  <c r="AJ38" i="28"/>
  <c r="AJ39" i="28"/>
  <c r="AJ40" i="28"/>
  <c r="AJ41" i="28"/>
  <c r="AJ43" i="28"/>
  <c r="F78" i="3"/>
  <c r="AJ45" i="28"/>
  <c r="AJ46" i="28"/>
  <c r="AJ47" i="28"/>
  <c r="F83" i="3"/>
  <c r="AJ49" i="28"/>
  <c r="AJ50" i="28"/>
  <c r="AJ51" i="28"/>
  <c r="F88" i="3"/>
  <c r="AJ53" i="28"/>
  <c r="AJ54" i="28"/>
  <c r="AJ55" i="28"/>
  <c r="AJ56" i="28"/>
  <c r="F93" i="3"/>
  <c r="AJ58" i="28"/>
  <c r="AJ59" i="28"/>
  <c r="AJ60" i="28"/>
  <c r="F66" i="28"/>
  <c r="F98" i="3"/>
  <c r="AJ62" i="28"/>
  <c r="AJ63" i="28"/>
  <c r="AJ64" i="28"/>
  <c r="F103" i="3"/>
  <c r="E66" i="28"/>
  <c r="G66" i="28"/>
  <c r="H66" i="28"/>
  <c r="I66" i="28"/>
  <c r="J66" i="28"/>
  <c r="K66" i="28"/>
  <c r="L66" i="28"/>
  <c r="M66" i="28"/>
  <c r="N66" i="28"/>
  <c r="O66" i="28"/>
  <c r="P66" i="28"/>
  <c r="Q66" i="28"/>
  <c r="R66" i="28"/>
  <c r="S66" i="28"/>
  <c r="T66" i="28"/>
  <c r="U66" i="28"/>
  <c r="V66" i="28"/>
  <c r="W66" i="28"/>
  <c r="X66" i="28"/>
  <c r="Y66" i="28"/>
  <c r="Z66" i="28"/>
  <c r="AA66" i="28"/>
  <c r="AB66" i="28"/>
  <c r="AC66" i="28"/>
  <c r="AD66" i="28"/>
  <c r="AE66" i="28"/>
  <c r="AF66" i="28"/>
  <c r="AG66" i="28"/>
  <c r="AH66" i="28"/>
  <c r="AI66" i="28"/>
  <c r="F63" i="26"/>
  <c r="F58" i="26"/>
  <c r="E58" i="26"/>
  <c r="AJ23" i="28" l="1"/>
  <c r="F63" i="3" s="1"/>
  <c r="AJ13" i="28"/>
  <c r="F58" i="3" s="1"/>
  <c r="F108" i="3"/>
  <c r="AJ66" i="28"/>
  <c r="L103" i="3" l="1"/>
  <c r="AG66" i="13"/>
  <c r="AC66" i="13"/>
  <c r="U66" i="13"/>
  <c r="Q66" i="13"/>
  <c r="M66" i="13"/>
  <c r="Q63" i="3"/>
  <c r="AF66" i="13"/>
  <c r="AB66" i="13"/>
  <c r="T66" i="13"/>
  <c r="P66" i="13"/>
  <c r="L66" i="13"/>
  <c r="H66" i="13"/>
  <c r="AI66" i="12"/>
  <c r="AE66" i="12"/>
  <c r="AA66" i="12"/>
  <c r="S66" i="12"/>
  <c r="O66" i="12"/>
  <c r="K66" i="12"/>
  <c r="P63" i="3"/>
  <c r="P58" i="3"/>
  <c r="AI23" i="11"/>
  <c r="AH23" i="11"/>
  <c r="AG23" i="11"/>
  <c r="AG66" i="11" s="1"/>
  <c r="AF23" i="11"/>
  <c r="AE23" i="11"/>
  <c r="AD23" i="11"/>
  <c r="AC23" i="11"/>
  <c r="AC66" i="11" s="1"/>
  <c r="AB23" i="11"/>
  <c r="AA23" i="11"/>
  <c r="Z23" i="11"/>
  <c r="Y23" i="11"/>
  <c r="Y66" i="11" s="1"/>
  <c r="X23" i="11"/>
  <c r="W23" i="11"/>
  <c r="V23" i="11"/>
  <c r="U23" i="11"/>
  <c r="T23" i="11"/>
  <c r="S23" i="11"/>
  <c r="R23" i="11"/>
  <c r="Q23" i="11"/>
  <c r="Q66" i="11" s="1"/>
  <c r="P23" i="11"/>
  <c r="O23" i="11"/>
  <c r="N23" i="11"/>
  <c r="M23" i="11"/>
  <c r="M66" i="11" s="1"/>
  <c r="L23" i="11"/>
  <c r="K23" i="11"/>
  <c r="J23" i="11"/>
  <c r="I23" i="11"/>
  <c r="I66" i="11" s="1"/>
  <c r="H23" i="11"/>
  <c r="G23" i="11"/>
  <c r="F23" i="11"/>
  <c r="AI13" i="11"/>
  <c r="AI66" i="11" s="1"/>
  <c r="AH13" i="11"/>
  <c r="AG13" i="11"/>
  <c r="AF13" i="11"/>
  <c r="AE13" i="11"/>
  <c r="AD13" i="11"/>
  <c r="AC13" i="11"/>
  <c r="AB13" i="11"/>
  <c r="AA13" i="11"/>
  <c r="AA66" i="11" s="1"/>
  <c r="Z13" i="11"/>
  <c r="Y13" i="11"/>
  <c r="X13" i="11"/>
  <c r="W13" i="11"/>
  <c r="W66" i="11" s="1"/>
  <c r="V13" i="11"/>
  <c r="U13" i="11"/>
  <c r="T13" i="11"/>
  <c r="S13" i="11"/>
  <c r="S66" i="11" s="1"/>
  <c r="R13" i="11"/>
  <c r="Q13" i="11"/>
  <c r="P13" i="11"/>
  <c r="O13" i="11"/>
  <c r="N13" i="11"/>
  <c r="M13" i="11"/>
  <c r="L13" i="11"/>
  <c r="K13" i="11"/>
  <c r="K66" i="11" s="1"/>
  <c r="J13" i="11"/>
  <c r="I13" i="11"/>
  <c r="H13" i="11"/>
  <c r="G13" i="11"/>
  <c r="AJ13" i="11" s="1"/>
  <c r="O58" i="3" s="1"/>
  <c r="F13" i="11"/>
  <c r="K63" i="3"/>
  <c r="AF66" i="7"/>
  <c r="AB66" i="7"/>
  <c r="T66" i="7"/>
  <c r="P66" i="7"/>
  <c r="L66" i="7"/>
  <c r="K58" i="3"/>
  <c r="J63" i="3"/>
  <c r="AI66" i="6"/>
  <c r="AA66" i="6"/>
  <c r="W66" i="6"/>
  <c r="S66" i="6"/>
  <c r="K66" i="6"/>
  <c r="G66" i="6"/>
  <c r="AI66" i="5"/>
  <c r="AA66" i="5"/>
  <c r="W66" i="5"/>
  <c r="S66" i="5"/>
  <c r="O66" i="5"/>
  <c r="G66" i="5"/>
  <c r="I58" i="3"/>
  <c r="AH66" i="4"/>
  <c r="Z66" i="4"/>
  <c r="V66" i="4"/>
  <c r="R66" i="4"/>
  <c r="J66" i="4"/>
  <c r="F66" i="4"/>
  <c r="AG66" i="4"/>
  <c r="AC66" i="4"/>
  <c r="Y66" i="4"/>
  <c r="Q66" i="4"/>
  <c r="M66" i="4"/>
  <c r="I66" i="4"/>
  <c r="G63" i="3"/>
  <c r="G58" i="3"/>
  <c r="E14" i="23"/>
  <c r="E13" i="23"/>
  <c r="E12" i="23"/>
  <c r="E11" i="23"/>
  <c r="E10" i="23"/>
  <c r="E9" i="23"/>
  <c r="E8" i="23"/>
  <c r="E7" i="23"/>
  <c r="E6" i="23"/>
  <c r="E5" i="23"/>
  <c r="E4" i="23"/>
  <c r="E3" i="23"/>
  <c r="C4" i="27"/>
  <c r="D4" i="27"/>
  <c r="E4" i="27"/>
  <c r="E52" i="24"/>
  <c r="E51" i="24"/>
  <c r="E50" i="24"/>
  <c r="E49" i="24"/>
  <c r="E48" i="24"/>
  <c r="E47" i="24"/>
  <c r="E46" i="24"/>
  <c r="E45" i="24"/>
  <c r="E44" i="24"/>
  <c r="E43" i="24"/>
  <c r="E42" i="24"/>
  <c r="E41" i="24"/>
  <c r="E32" i="24"/>
  <c r="E31" i="24"/>
  <c r="E30" i="24"/>
  <c r="E29" i="24"/>
  <c r="E28" i="24"/>
  <c r="E27" i="24"/>
  <c r="E26" i="24"/>
  <c r="E25" i="24"/>
  <c r="E24" i="24"/>
  <c r="E23" i="24"/>
  <c r="E22" i="24"/>
  <c r="E21" i="24"/>
  <c r="E111" i="27"/>
  <c r="D111" i="27"/>
  <c r="E102" i="27"/>
  <c r="D102" i="27"/>
  <c r="D93" i="27"/>
  <c r="E84" i="27"/>
  <c r="D84" i="27"/>
  <c r="E75" i="27"/>
  <c r="D75" i="27"/>
  <c r="E66" i="27"/>
  <c r="D66" i="27"/>
  <c r="D57" i="27"/>
  <c r="E48" i="27"/>
  <c r="D48" i="27"/>
  <c r="E39" i="27"/>
  <c r="D39" i="27"/>
  <c r="F38" i="27"/>
  <c r="D30" i="27"/>
  <c r="E21" i="27"/>
  <c r="D21" i="27"/>
  <c r="D12" i="27"/>
  <c r="E12" i="27"/>
  <c r="F11" i="27"/>
  <c r="E14" i="24"/>
  <c r="E13" i="24"/>
  <c r="E12" i="24"/>
  <c r="E11" i="24"/>
  <c r="E10" i="24"/>
  <c r="E9" i="24"/>
  <c r="E8" i="24"/>
  <c r="E7" i="24"/>
  <c r="E6" i="24"/>
  <c r="E5" i="24"/>
  <c r="E4" i="24"/>
  <c r="E3" i="24"/>
  <c r="H9" i="27"/>
  <c r="C14" i="22"/>
  <c r="C13" i="22"/>
  <c r="C12" i="22"/>
  <c r="C11" i="22"/>
  <c r="C10" i="22"/>
  <c r="C9" i="22"/>
  <c r="C8" i="22"/>
  <c r="C7" i="22"/>
  <c r="C6" i="22"/>
  <c r="C5" i="22"/>
  <c r="C4" i="22"/>
  <c r="C3" i="22"/>
  <c r="H25" i="26"/>
  <c r="I13" i="3" s="1"/>
  <c r="W18" i="19"/>
  <c r="N19" i="19"/>
  <c r="M19" i="19"/>
  <c r="L19" i="19"/>
  <c r="K19" i="19"/>
  <c r="J19" i="19"/>
  <c r="B18" i="19"/>
  <c r="F9" i="25"/>
  <c r="H15" i="19"/>
  <c r="G15" i="19"/>
  <c r="F15" i="19"/>
  <c r="E15" i="19"/>
  <c r="D15" i="19"/>
  <c r="C15" i="19"/>
  <c r="H14" i="19"/>
  <c r="G14" i="19"/>
  <c r="F14" i="19"/>
  <c r="E14" i="19"/>
  <c r="D14" i="19"/>
  <c r="H13" i="19"/>
  <c r="G13" i="19"/>
  <c r="F13" i="19"/>
  <c r="E13" i="19"/>
  <c r="D13" i="19"/>
  <c r="H12" i="19"/>
  <c r="G12" i="19"/>
  <c r="F12" i="19"/>
  <c r="E12" i="19"/>
  <c r="D12" i="19"/>
  <c r="H11" i="19"/>
  <c r="G11" i="19"/>
  <c r="F11" i="19"/>
  <c r="E11" i="19"/>
  <c r="D11" i="19"/>
  <c r="H10" i="19"/>
  <c r="G10" i="19"/>
  <c r="F10" i="19"/>
  <c r="E10" i="19"/>
  <c r="D10" i="19"/>
  <c r="H9" i="19"/>
  <c r="G9" i="19"/>
  <c r="F9" i="19"/>
  <c r="E9" i="19"/>
  <c r="D9" i="19"/>
  <c r="H8" i="19"/>
  <c r="G8" i="19"/>
  <c r="F8" i="19"/>
  <c r="E8" i="19"/>
  <c r="D8" i="19"/>
  <c r="H7" i="19"/>
  <c r="G7" i="19"/>
  <c r="F7" i="19"/>
  <c r="E7" i="19"/>
  <c r="D7" i="19"/>
  <c r="H6" i="19"/>
  <c r="G6" i="19"/>
  <c r="F6" i="19"/>
  <c r="F16" i="19" s="1"/>
  <c r="E6" i="19"/>
  <c r="D6" i="19"/>
  <c r="H5" i="19"/>
  <c r="G5" i="19"/>
  <c r="F5" i="19"/>
  <c r="E5" i="19"/>
  <c r="D5" i="19"/>
  <c r="H4" i="19"/>
  <c r="G4" i="19"/>
  <c r="F4" i="19"/>
  <c r="E4" i="19"/>
  <c r="E16" i="19" s="1"/>
  <c r="D4" i="19"/>
  <c r="D16" i="19" s="1"/>
  <c r="C14" i="19"/>
  <c r="C13" i="19"/>
  <c r="C12" i="19"/>
  <c r="C11" i="19"/>
  <c r="C10" i="19"/>
  <c r="C9" i="19"/>
  <c r="C8" i="19"/>
  <c r="C7" i="19"/>
  <c r="C6" i="19"/>
  <c r="C5" i="19"/>
  <c r="C16" i="19"/>
  <c r="C4" i="19"/>
  <c r="F15" i="26"/>
  <c r="G8" i="3" s="1"/>
  <c r="E9" i="25"/>
  <c r="F4" i="3"/>
  <c r="I15" i="26"/>
  <c r="P63" i="26"/>
  <c r="Q43" i="3" s="1"/>
  <c r="O63" i="26"/>
  <c r="P43" i="3" s="1"/>
  <c r="P46" i="3" s="1"/>
  <c r="N63" i="26"/>
  <c r="O43" i="3"/>
  <c r="O46" i="3" s="1"/>
  <c r="M63" i="26"/>
  <c r="N43" i="3" s="1"/>
  <c r="N46" i="3" s="1"/>
  <c r="L63" i="26"/>
  <c r="M43" i="3" s="1"/>
  <c r="M46" i="3" s="1"/>
  <c r="K63" i="26"/>
  <c r="L43" i="3" s="1"/>
  <c r="L46" i="3" s="1"/>
  <c r="J63" i="26"/>
  <c r="K43" i="3"/>
  <c r="K46" i="3" s="1"/>
  <c r="I63" i="26"/>
  <c r="J43" i="3" s="1"/>
  <c r="H63" i="26"/>
  <c r="G63" i="26"/>
  <c r="H43" i="3"/>
  <c r="H46" i="3" s="1"/>
  <c r="G43" i="3"/>
  <c r="E63" i="26"/>
  <c r="F43" i="3" s="1"/>
  <c r="Q62" i="26"/>
  <c r="Q61" i="26"/>
  <c r="Q60" i="26"/>
  <c r="Q63" i="26" s="1"/>
  <c r="P58" i="26"/>
  <c r="Q38" i="3"/>
  <c r="AD15" i="19" s="1"/>
  <c r="O58" i="26"/>
  <c r="P38" i="3"/>
  <c r="AD14" i="19" s="1"/>
  <c r="N58" i="26"/>
  <c r="O38" i="3"/>
  <c r="AF36" i="19" s="1"/>
  <c r="M58" i="26"/>
  <c r="N38" i="3"/>
  <c r="N41" i="3" s="1"/>
  <c r="L58" i="26"/>
  <c r="M38" i="3"/>
  <c r="M41" i="3" s="1"/>
  <c r="K58" i="26"/>
  <c r="L38" i="3"/>
  <c r="L39" i="3" s="1"/>
  <c r="J58" i="26"/>
  <c r="K38" i="3"/>
  <c r="K41" i="3" s="1"/>
  <c r="I58" i="26"/>
  <c r="J38" i="3"/>
  <c r="J41" i="3" s="1"/>
  <c r="H58" i="26"/>
  <c r="I38" i="3"/>
  <c r="I41" i="3" s="1"/>
  <c r="G58" i="26"/>
  <c r="H38" i="3" s="1"/>
  <c r="G38" i="3"/>
  <c r="G41" i="3" s="1"/>
  <c r="F38" i="3"/>
  <c r="W36" i="19" s="1"/>
  <c r="Q57" i="26"/>
  <c r="Q56" i="26"/>
  <c r="Q55" i="26"/>
  <c r="Q54" i="26"/>
  <c r="P52" i="26"/>
  <c r="Q33" i="3" s="1"/>
  <c r="O52" i="26"/>
  <c r="P33" i="3" s="1"/>
  <c r="AG35" i="19" s="1"/>
  <c r="N52" i="26"/>
  <c r="O33" i="3" s="1"/>
  <c r="M52" i="26"/>
  <c r="N33" i="3" s="1"/>
  <c r="N36" i="3" s="1"/>
  <c r="L52" i="26"/>
  <c r="M33" i="3" s="1"/>
  <c r="K52" i="26"/>
  <c r="L33" i="3"/>
  <c r="AC10" i="19" s="1"/>
  <c r="J52" i="26"/>
  <c r="K33" i="3" s="1"/>
  <c r="K36" i="3" s="1"/>
  <c r="I52" i="26"/>
  <c r="J33" i="3" s="1"/>
  <c r="J36" i="3" s="1"/>
  <c r="H52" i="26"/>
  <c r="I33" i="3" s="1"/>
  <c r="G52" i="26"/>
  <c r="H33" i="3" s="1"/>
  <c r="AC6" i="19" s="1"/>
  <c r="F52" i="26"/>
  <c r="G33" i="3" s="1"/>
  <c r="E52" i="26"/>
  <c r="F33" i="3" s="1"/>
  <c r="Q51" i="26"/>
  <c r="Q50" i="26"/>
  <c r="Q49" i="26"/>
  <c r="Q48" i="26"/>
  <c r="Q47" i="26"/>
  <c r="P45" i="26"/>
  <c r="Q28" i="3" s="1"/>
  <c r="O45" i="26"/>
  <c r="P28" i="3" s="1"/>
  <c r="P31" i="3" s="1"/>
  <c r="N45" i="26"/>
  <c r="O28" i="3" s="1"/>
  <c r="M45" i="26"/>
  <c r="N28" i="3" s="1"/>
  <c r="N31" i="3" s="1"/>
  <c r="L45" i="26"/>
  <c r="M28" i="3" s="1"/>
  <c r="K45" i="26"/>
  <c r="L28" i="3" s="1"/>
  <c r="J45" i="26"/>
  <c r="K28" i="3" s="1"/>
  <c r="I45" i="26"/>
  <c r="J28" i="3" s="1"/>
  <c r="H45" i="26"/>
  <c r="I28" i="3" s="1"/>
  <c r="G45" i="26"/>
  <c r="H28" i="3" s="1"/>
  <c r="F45" i="26"/>
  <c r="G28" i="3" s="1"/>
  <c r="X34" i="19" s="1"/>
  <c r="E45" i="26"/>
  <c r="F28" i="3" s="1"/>
  <c r="Q44" i="26"/>
  <c r="Q43" i="26"/>
  <c r="Q42" i="26"/>
  <c r="Q41" i="26"/>
  <c r="Q40" i="26"/>
  <c r="P38" i="26"/>
  <c r="Q23" i="3" s="1"/>
  <c r="Q26" i="3" s="1"/>
  <c r="O38" i="26"/>
  <c r="P23" i="3" s="1"/>
  <c r="P26" i="3" s="1"/>
  <c r="N38" i="26"/>
  <c r="O23" i="3" s="1"/>
  <c r="M38" i="26"/>
  <c r="N23" i="3" s="1"/>
  <c r="N26" i="3" s="1"/>
  <c r="L38" i="26"/>
  <c r="M23" i="3" s="1"/>
  <c r="K38" i="26"/>
  <c r="L23" i="3" s="1"/>
  <c r="L26" i="3" s="1"/>
  <c r="J38" i="26"/>
  <c r="K23" i="3" s="1"/>
  <c r="I38" i="26"/>
  <c r="J23" i="3" s="1"/>
  <c r="H38" i="26"/>
  <c r="I23" i="3" s="1"/>
  <c r="I26" i="3" s="1"/>
  <c r="G38" i="26"/>
  <c r="H23" i="3" s="1"/>
  <c r="F38" i="26"/>
  <c r="G23" i="3" s="1"/>
  <c r="G26" i="3" s="1"/>
  <c r="E38" i="26"/>
  <c r="F23" i="3" s="1"/>
  <c r="Q37" i="26"/>
  <c r="Q36" i="26"/>
  <c r="Q35" i="26"/>
  <c r="Q34" i="26"/>
  <c r="Q33" i="26"/>
  <c r="P31" i="26"/>
  <c r="Q18" i="3" s="1"/>
  <c r="Q21" i="3" s="1"/>
  <c r="O31" i="26"/>
  <c r="P18" i="3"/>
  <c r="P21" i="3" s="1"/>
  <c r="N31" i="26"/>
  <c r="O18" i="3"/>
  <c r="O21" i="3" s="1"/>
  <c r="M31" i="26"/>
  <c r="N18" i="3"/>
  <c r="N21" i="3" s="1"/>
  <c r="L31" i="26"/>
  <c r="M18" i="3"/>
  <c r="M21" i="3" s="1"/>
  <c r="K31" i="26"/>
  <c r="L18" i="3"/>
  <c r="L19" i="3" s="1"/>
  <c r="J31" i="26"/>
  <c r="K18" i="3"/>
  <c r="I31" i="26"/>
  <c r="J18" i="3"/>
  <c r="J19" i="3" s="1"/>
  <c r="H31" i="26"/>
  <c r="I18" i="3"/>
  <c r="I19" i="3" s="1"/>
  <c r="G31" i="26"/>
  <c r="H18" i="3"/>
  <c r="H21" i="3" s="1"/>
  <c r="F31" i="26"/>
  <c r="E31" i="26"/>
  <c r="F18" i="3" s="1"/>
  <c r="Q30" i="26"/>
  <c r="Q29" i="26"/>
  <c r="Q28" i="26"/>
  <c r="Q27" i="26"/>
  <c r="P25" i="26"/>
  <c r="Q13" i="3" s="1"/>
  <c r="Q16" i="3" s="1"/>
  <c r="O25" i="26"/>
  <c r="P13" i="3" s="1"/>
  <c r="N25" i="26"/>
  <c r="O13" i="3" s="1"/>
  <c r="M25" i="26"/>
  <c r="N13" i="3" s="1"/>
  <c r="L25" i="26"/>
  <c r="M13" i="3" s="1"/>
  <c r="M16" i="3" s="1"/>
  <c r="K25" i="26"/>
  <c r="L13" i="3" s="1"/>
  <c r="J25" i="26"/>
  <c r="K13" i="3" s="1"/>
  <c r="K16" i="3" s="1"/>
  <c r="I25" i="26"/>
  <c r="J13" i="3" s="1"/>
  <c r="G25" i="26"/>
  <c r="H13" i="3" s="1"/>
  <c r="H16" i="3" s="1"/>
  <c r="F25" i="26"/>
  <c r="G13" i="3"/>
  <c r="G16" i="3" s="1"/>
  <c r="E25" i="26"/>
  <c r="F13" i="3" s="1"/>
  <c r="Q24" i="26"/>
  <c r="Q23" i="26"/>
  <c r="Q22" i="26"/>
  <c r="Q21" i="26"/>
  <c r="Q20" i="26"/>
  <c r="Q19" i="26"/>
  <c r="Q18" i="26"/>
  <c r="Q17" i="26"/>
  <c r="P15" i="26"/>
  <c r="O15" i="26"/>
  <c r="N15" i="26"/>
  <c r="O8" i="3" s="1"/>
  <c r="M15" i="26"/>
  <c r="L15" i="26"/>
  <c r="M8" i="3" s="1"/>
  <c r="K15" i="26"/>
  <c r="J15" i="26"/>
  <c r="H15" i="26"/>
  <c r="I8" i="3"/>
  <c r="I11" i="3" s="1"/>
  <c r="G15" i="26"/>
  <c r="E15" i="26"/>
  <c r="Q14" i="26"/>
  <c r="Q13" i="26"/>
  <c r="Q12" i="26"/>
  <c r="Q11" i="26"/>
  <c r="Q10" i="26"/>
  <c r="Q9" i="26"/>
  <c r="Q8" i="26"/>
  <c r="Q7" i="26"/>
  <c r="Q6" i="26"/>
  <c r="Q5" i="26"/>
  <c r="Q4" i="26"/>
  <c r="Q3" i="26"/>
  <c r="P9" i="25"/>
  <c r="Q4" i="3"/>
  <c r="O9" i="25"/>
  <c r="P4" i="3"/>
  <c r="P39" i="3" s="1"/>
  <c r="N9" i="25"/>
  <c r="O4" i="3"/>
  <c r="M9" i="25"/>
  <c r="N4" i="3" s="1"/>
  <c r="L9" i="25"/>
  <c r="M4" i="3" s="1"/>
  <c r="K9" i="25"/>
  <c r="L4" i="3"/>
  <c r="J9" i="25"/>
  <c r="K4" i="3" s="1"/>
  <c r="I9" i="25"/>
  <c r="H9" i="25"/>
  <c r="I4" i="3"/>
  <c r="G9" i="25"/>
  <c r="H4" i="3" s="1"/>
  <c r="Q8" i="25"/>
  <c r="Q7" i="25"/>
  <c r="Q6" i="25"/>
  <c r="Q5" i="25"/>
  <c r="Q4" i="25"/>
  <c r="Q3" i="25"/>
  <c r="N8" i="3"/>
  <c r="K8" i="3"/>
  <c r="K9" i="3" s="1"/>
  <c r="P8" i="3"/>
  <c r="J8" i="3"/>
  <c r="J11" i="3" s="1"/>
  <c r="L8" i="3"/>
  <c r="H8" i="3"/>
  <c r="H11" i="3" s="1"/>
  <c r="Q8" i="3"/>
  <c r="O44" i="3"/>
  <c r="G18" i="3"/>
  <c r="G21" i="3" s="1"/>
  <c r="I39" i="3"/>
  <c r="I43" i="3"/>
  <c r="F8" i="3"/>
  <c r="F11" i="3" s="1"/>
  <c r="F41" i="3"/>
  <c r="L41" i="3"/>
  <c r="K21" i="3"/>
  <c r="I21" i="3"/>
  <c r="I6" i="3"/>
  <c r="O6" i="3"/>
  <c r="L11" i="3"/>
  <c r="P11" i="3"/>
  <c r="G46" i="3"/>
  <c r="H19" i="19"/>
  <c r="G4" i="3"/>
  <c r="J4" i="3"/>
  <c r="Q38" i="26"/>
  <c r="Q58" i="26"/>
  <c r="I46" i="3"/>
  <c r="J39" i="3"/>
  <c r="J6" i="3"/>
  <c r="K6" i="3"/>
  <c r="R124" i="3"/>
  <c r="R5" i="3"/>
  <c r="R136" i="3"/>
  <c r="R15" i="3"/>
  <c r="O40" i="19"/>
  <c r="O39" i="19"/>
  <c r="O38" i="19"/>
  <c r="O37" i="19"/>
  <c r="O36" i="19"/>
  <c r="O35" i="19"/>
  <c r="R105" i="3"/>
  <c r="H16" i="19"/>
  <c r="G16" i="19"/>
  <c r="R120" i="3"/>
  <c r="R115" i="3"/>
  <c r="R110" i="3"/>
  <c r="R100" i="3"/>
  <c r="R101" i="3"/>
  <c r="R95" i="3"/>
  <c r="R90" i="3"/>
  <c r="R85" i="3"/>
  <c r="R80" i="3"/>
  <c r="R75" i="3"/>
  <c r="R70" i="3"/>
  <c r="R65" i="3"/>
  <c r="R60" i="3"/>
  <c r="R55" i="3"/>
  <c r="R50" i="3"/>
  <c r="R45" i="3"/>
  <c r="R40" i="3"/>
  <c r="R35" i="3"/>
  <c r="R30" i="3"/>
  <c r="R25" i="3"/>
  <c r="R20" i="3"/>
  <c r="R10" i="3"/>
  <c r="AJ64" i="13"/>
  <c r="AJ63" i="13"/>
  <c r="AJ62" i="13"/>
  <c r="AJ60" i="13"/>
  <c r="AJ59" i="13"/>
  <c r="AJ58" i="13"/>
  <c r="AJ56" i="13"/>
  <c r="AJ55" i="13"/>
  <c r="AJ54" i="13"/>
  <c r="AJ53" i="13"/>
  <c r="Q88" i="3"/>
  <c r="Q91" i="3" s="1"/>
  <c r="AJ51" i="13"/>
  <c r="AJ50" i="13"/>
  <c r="AJ49" i="13"/>
  <c r="AJ47" i="13"/>
  <c r="AJ46" i="13"/>
  <c r="AJ45" i="13"/>
  <c r="AJ43" i="13"/>
  <c r="AJ41" i="13"/>
  <c r="AJ40" i="13"/>
  <c r="AJ39" i="13"/>
  <c r="AJ38" i="13"/>
  <c r="AJ37" i="13"/>
  <c r="AJ35" i="13"/>
  <c r="AJ34" i="13"/>
  <c r="AJ33" i="13"/>
  <c r="AJ31" i="13"/>
  <c r="AJ30" i="13"/>
  <c r="AJ29" i="13"/>
  <c r="AJ28" i="13"/>
  <c r="AH66" i="13"/>
  <c r="AD66" i="13"/>
  <c r="Z66" i="13"/>
  <c r="R66" i="13"/>
  <c r="N66" i="13"/>
  <c r="J66" i="13"/>
  <c r="F66" i="13"/>
  <c r="AJ25" i="13"/>
  <c r="AJ24" i="13"/>
  <c r="AJ22" i="13"/>
  <c r="AJ21" i="13"/>
  <c r="AJ20" i="13"/>
  <c r="AJ19" i="13"/>
  <c r="AJ18" i="13"/>
  <c r="AJ17" i="13"/>
  <c r="AJ16" i="13"/>
  <c r="AJ15" i="13"/>
  <c r="AJ14" i="13"/>
  <c r="V66" i="13"/>
  <c r="AJ12" i="13"/>
  <c r="AJ11" i="13"/>
  <c r="AJ10" i="13"/>
  <c r="AJ9" i="13"/>
  <c r="AJ8" i="13"/>
  <c r="AJ7" i="13"/>
  <c r="AJ6" i="13"/>
  <c r="AJ5" i="13"/>
  <c r="P103" i="3"/>
  <c r="AJ64" i="12"/>
  <c r="AJ63" i="12"/>
  <c r="AJ62" i="12"/>
  <c r="AJ60" i="12"/>
  <c r="AJ59" i="12"/>
  <c r="AJ58" i="12"/>
  <c r="AJ56" i="12"/>
  <c r="AJ55" i="12"/>
  <c r="AJ54" i="12"/>
  <c r="AJ53" i="12"/>
  <c r="AJ51" i="12"/>
  <c r="AJ50" i="12"/>
  <c r="AJ49" i="12"/>
  <c r="AJ47" i="12"/>
  <c r="AJ46" i="12"/>
  <c r="AJ45" i="12"/>
  <c r="AJ43" i="12"/>
  <c r="AJ41" i="12"/>
  <c r="AJ40" i="12"/>
  <c r="AJ39" i="12"/>
  <c r="AJ38" i="12"/>
  <c r="AJ37" i="12"/>
  <c r="AJ35" i="12"/>
  <c r="AJ34" i="12"/>
  <c r="AJ33" i="12"/>
  <c r="AJ31" i="12"/>
  <c r="AJ30" i="12"/>
  <c r="AJ29" i="12"/>
  <c r="AJ28" i="12"/>
  <c r="AH66" i="12"/>
  <c r="AD66" i="12"/>
  <c r="Z66" i="12"/>
  <c r="W66" i="12"/>
  <c r="R66" i="12"/>
  <c r="N66" i="12"/>
  <c r="J66" i="12"/>
  <c r="P68" i="3"/>
  <c r="AJ25" i="12"/>
  <c r="AJ24" i="12"/>
  <c r="AJ22" i="12"/>
  <c r="AJ21" i="12"/>
  <c r="AJ20" i="12"/>
  <c r="AJ19" i="12"/>
  <c r="AJ18" i="12"/>
  <c r="AJ17" i="12"/>
  <c r="AJ16" i="12"/>
  <c r="AJ15" i="12"/>
  <c r="AJ14" i="12"/>
  <c r="AJ12" i="12"/>
  <c r="AJ11" i="12"/>
  <c r="AJ10" i="12"/>
  <c r="AJ9" i="12"/>
  <c r="AJ8" i="12"/>
  <c r="AJ7" i="12"/>
  <c r="AJ6" i="12"/>
  <c r="AJ5" i="12"/>
  <c r="AI65" i="11"/>
  <c r="AH65" i="11"/>
  <c r="AG65" i="11"/>
  <c r="AF65" i="11"/>
  <c r="AE65" i="11"/>
  <c r="AD65" i="11"/>
  <c r="AC65" i="11"/>
  <c r="AB65" i="11"/>
  <c r="AA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J64" i="11"/>
  <c r="AJ63" i="11"/>
  <c r="AJ62" i="11"/>
  <c r="AI61" i="11"/>
  <c r="AH61" i="11"/>
  <c r="AG61" i="11"/>
  <c r="AF61" i="11"/>
  <c r="AE61" i="11"/>
  <c r="AD61" i="11"/>
  <c r="AC61" i="11"/>
  <c r="AB61" i="11"/>
  <c r="AA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J60" i="11"/>
  <c r="AJ59" i="11"/>
  <c r="AJ58" i="11"/>
  <c r="AI57" i="11"/>
  <c r="AH57" i="11"/>
  <c r="AG57" i="11"/>
  <c r="AF57" i="11"/>
  <c r="AE57" i="11"/>
  <c r="AD57" i="11"/>
  <c r="AC57" i="11"/>
  <c r="AB57" i="11"/>
  <c r="AA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J56" i="11"/>
  <c r="AJ55" i="11"/>
  <c r="AJ54" i="11"/>
  <c r="AJ53" i="11"/>
  <c r="AI52" i="11"/>
  <c r="AH52" i="11"/>
  <c r="AG52" i="11"/>
  <c r="AF52" i="11"/>
  <c r="AE52" i="11"/>
  <c r="AD52" i="11"/>
  <c r="AC52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J51" i="11"/>
  <c r="AJ50" i="11"/>
  <c r="AJ49" i="11"/>
  <c r="AI48" i="11"/>
  <c r="AH48" i="11"/>
  <c r="AG48" i="11"/>
  <c r="AF48" i="11"/>
  <c r="AE48" i="11"/>
  <c r="AD48" i="11"/>
  <c r="AC48" i="11"/>
  <c r="AB48" i="11"/>
  <c r="AA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J47" i="11"/>
  <c r="AJ46" i="11"/>
  <c r="AJ45" i="11"/>
  <c r="AI44" i="11"/>
  <c r="AH44" i="11"/>
  <c r="AG44" i="11"/>
  <c r="AF44" i="11"/>
  <c r="AE44" i="11"/>
  <c r="AD44" i="11"/>
  <c r="AC44" i="11"/>
  <c r="AB44" i="11"/>
  <c r="AA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J43" i="11"/>
  <c r="AJ41" i="11"/>
  <c r="AJ40" i="11"/>
  <c r="AJ39" i="11"/>
  <c r="AJ38" i="11"/>
  <c r="AJ37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J35" i="11"/>
  <c r="AJ34" i="11"/>
  <c r="AJ33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J31" i="11"/>
  <c r="AJ30" i="11"/>
  <c r="AJ29" i="11"/>
  <c r="AJ28" i="11"/>
  <c r="AI27" i="11"/>
  <c r="AH27" i="11"/>
  <c r="AG27" i="11"/>
  <c r="AF27" i="11"/>
  <c r="AF66" i="11" s="1"/>
  <c r="AE27" i="11"/>
  <c r="AD27" i="11"/>
  <c r="AC27" i="11"/>
  <c r="AB27" i="11"/>
  <c r="AB66" i="11" s="1"/>
  <c r="AA27" i="11"/>
  <c r="Z27" i="11"/>
  <c r="Y27" i="11"/>
  <c r="X27" i="11"/>
  <c r="W27" i="11"/>
  <c r="V27" i="11"/>
  <c r="U27" i="11"/>
  <c r="T27" i="11"/>
  <c r="T66" i="11" s="1"/>
  <c r="S27" i="11"/>
  <c r="R27" i="11"/>
  <c r="Q27" i="11"/>
  <c r="P27" i="11"/>
  <c r="P66" i="11" s="1"/>
  <c r="O27" i="11"/>
  <c r="N27" i="11"/>
  <c r="M27" i="11"/>
  <c r="L27" i="11"/>
  <c r="L66" i="11" s="1"/>
  <c r="K27" i="11"/>
  <c r="J27" i="11"/>
  <c r="I27" i="11"/>
  <c r="H27" i="11"/>
  <c r="AJ27" i="11" s="1"/>
  <c r="O68" i="3" s="1"/>
  <c r="O71" i="3" s="1"/>
  <c r="G27" i="11"/>
  <c r="F27" i="11"/>
  <c r="AJ25" i="11"/>
  <c r="AJ24" i="11"/>
  <c r="AJ22" i="11"/>
  <c r="AJ21" i="11"/>
  <c r="AJ20" i="11"/>
  <c r="AJ19" i="11"/>
  <c r="AJ18" i="11"/>
  <c r="AJ17" i="11"/>
  <c r="AJ16" i="11"/>
  <c r="AJ15" i="11"/>
  <c r="AJ14" i="11"/>
  <c r="X66" i="11"/>
  <c r="AJ12" i="11"/>
  <c r="AJ11" i="11"/>
  <c r="AJ10" i="11"/>
  <c r="AJ9" i="11"/>
  <c r="AJ8" i="11"/>
  <c r="AJ7" i="11"/>
  <c r="AJ6" i="11"/>
  <c r="AJ5" i="11"/>
  <c r="AJ64" i="10"/>
  <c r="AJ63" i="10"/>
  <c r="AJ62" i="10"/>
  <c r="AJ60" i="10"/>
  <c r="AJ59" i="10"/>
  <c r="AJ58" i="10"/>
  <c r="AJ56" i="10"/>
  <c r="AJ55" i="10"/>
  <c r="AJ54" i="10"/>
  <c r="AJ53" i="10"/>
  <c r="AJ51" i="10"/>
  <c r="AJ50" i="10"/>
  <c r="AJ49" i="10"/>
  <c r="AJ47" i="10"/>
  <c r="AJ46" i="10"/>
  <c r="AJ45" i="10"/>
  <c r="AJ43" i="10"/>
  <c r="AJ41" i="10"/>
  <c r="AJ40" i="10"/>
  <c r="AJ39" i="10"/>
  <c r="AJ38" i="10"/>
  <c r="AJ37" i="10"/>
  <c r="AJ35" i="10"/>
  <c r="AJ34" i="10"/>
  <c r="AJ33" i="10"/>
  <c r="AJ31" i="10"/>
  <c r="AJ30" i="10"/>
  <c r="AJ29" i="10"/>
  <c r="AJ28" i="10"/>
  <c r="AJ25" i="10"/>
  <c r="AJ24" i="10"/>
  <c r="AJ27" i="10" s="1"/>
  <c r="N68" i="3" s="1"/>
  <c r="AJ22" i="10"/>
  <c r="AJ21" i="10"/>
  <c r="AJ20" i="10"/>
  <c r="AJ19" i="10"/>
  <c r="AJ18" i="10"/>
  <c r="AJ17" i="10"/>
  <c r="AJ16" i="10"/>
  <c r="AJ15" i="10"/>
  <c r="AJ14" i="10"/>
  <c r="AG66" i="10"/>
  <c r="AC66" i="10"/>
  <c r="Y66" i="10"/>
  <c r="U66" i="10"/>
  <c r="Q66" i="10"/>
  <c r="M66" i="10"/>
  <c r="I66" i="10"/>
  <c r="AJ12" i="10"/>
  <c r="AJ11" i="10"/>
  <c r="AJ10" i="10"/>
  <c r="AJ9" i="10"/>
  <c r="AJ8" i="10"/>
  <c r="AJ7" i="10"/>
  <c r="AJ6" i="10"/>
  <c r="AJ5" i="10"/>
  <c r="AJ13" i="10" s="1"/>
  <c r="AJ64" i="9"/>
  <c r="AJ63" i="9"/>
  <c r="AJ62" i="9"/>
  <c r="AJ60" i="9"/>
  <c r="AJ59" i="9"/>
  <c r="AJ58" i="9"/>
  <c r="AJ56" i="9"/>
  <c r="AJ55" i="9"/>
  <c r="AJ54" i="9"/>
  <c r="AJ53" i="9"/>
  <c r="AJ51" i="9"/>
  <c r="AJ50" i="9"/>
  <c r="AJ49" i="9"/>
  <c r="M83" i="3"/>
  <c r="AJ47" i="9"/>
  <c r="AJ46" i="9"/>
  <c r="AJ45" i="9"/>
  <c r="AJ43" i="9"/>
  <c r="AJ41" i="9"/>
  <c r="AJ40" i="9"/>
  <c r="AJ39" i="9"/>
  <c r="AJ38" i="9"/>
  <c r="AJ37" i="9"/>
  <c r="AJ35" i="9"/>
  <c r="AJ34" i="9"/>
  <c r="AJ33" i="9"/>
  <c r="AJ31" i="9"/>
  <c r="AJ30" i="9"/>
  <c r="AJ29" i="9"/>
  <c r="AJ28" i="9"/>
  <c r="AJ25" i="9"/>
  <c r="AJ24" i="9"/>
  <c r="AJ27" i="9" s="1"/>
  <c r="AJ22" i="9"/>
  <c r="AJ21" i="9"/>
  <c r="AJ20" i="9"/>
  <c r="AJ19" i="9"/>
  <c r="AJ18" i="9"/>
  <c r="AJ17" i="9"/>
  <c r="AJ16" i="9"/>
  <c r="AJ15" i="9"/>
  <c r="AJ14" i="9"/>
  <c r="AH66" i="9"/>
  <c r="AD66" i="9"/>
  <c r="Z66" i="9"/>
  <c r="V66" i="9"/>
  <c r="R66" i="9"/>
  <c r="N66" i="9"/>
  <c r="J66" i="9"/>
  <c r="F66" i="9"/>
  <c r="AJ12" i="9"/>
  <c r="AJ11" i="9"/>
  <c r="AJ10" i="9"/>
  <c r="AJ9" i="9"/>
  <c r="AJ8" i="9"/>
  <c r="AJ7" i="9"/>
  <c r="AJ6" i="9"/>
  <c r="AJ5" i="9"/>
  <c r="AJ64" i="8"/>
  <c r="AJ63" i="8"/>
  <c r="AJ62" i="8"/>
  <c r="AJ60" i="8"/>
  <c r="AJ59" i="8"/>
  <c r="AJ58" i="8"/>
  <c r="AJ56" i="8"/>
  <c r="AJ55" i="8"/>
  <c r="AJ54" i="8"/>
  <c r="AJ53" i="8"/>
  <c r="AJ51" i="8"/>
  <c r="AJ50" i="8"/>
  <c r="AJ49" i="8"/>
  <c r="AJ47" i="8"/>
  <c r="AJ46" i="8"/>
  <c r="AJ45" i="8"/>
  <c r="AJ43" i="8"/>
  <c r="AJ41" i="8"/>
  <c r="AJ40" i="8"/>
  <c r="AJ39" i="8"/>
  <c r="AJ38" i="8"/>
  <c r="AJ37" i="8"/>
  <c r="AJ35" i="8"/>
  <c r="AJ34" i="8"/>
  <c r="AJ33" i="8"/>
  <c r="AJ31" i="8"/>
  <c r="AJ30" i="8"/>
  <c r="AJ29" i="8"/>
  <c r="AJ28" i="8"/>
  <c r="AJ25" i="8"/>
  <c r="AJ24" i="8"/>
  <c r="AJ22" i="8"/>
  <c r="AJ21" i="8"/>
  <c r="AJ20" i="8"/>
  <c r="AJ19" i="8"/>
  <c r="AJ18" i="8"/>
  <c r="AJ17" i="8"/>
  <c r="AJ16" i="8"/>
  <c r="AJ15" i="8"/>
  <c r="AJ14" i="8"/>
  <c r="AJ12" i="8"/>
  <c r="AJ11" i="8"/>
  <c r="AJ10" i="8"/>
  <c r="AJ9" i="8"/>
  <c r="AJ8" i="8"/>
  <c r="AJ7" i="8"/>
  <c r="AJ6" i="8"/>
  <c r="AJ5" i="8"/>
  <c r="AJ64" i="7"/>
  <c r="AJ63" i="7"/>
  <c r="AJ62" i="7"/>
  <c r="AJ60" i="7"/>
  <c r="AJ59" i="7"/>
  <c r="AJ58" i="7"/>
  <c r="AJ56" i="7"/>
  <c r="AJ55" i="7"/>
  <c r="AJ54" i="7"/>
  <c r="AJ53" i="7"/>
  <c r="AJ51" i="7"/>
  <c r="AJ50" i="7"/>
  <c r="AJ49" i="7"/>
  <c r="AJ47" i="7"/>
  <c r="AJ46" i="7"/>
  <c r="AJ45" i="7"/>
  <c r="AJ43" i="7"/>
  <c r="AJ41" i="7"/>
  <c r="AJ40" i="7"/>
  <c r="AJ39" i="7"/>
  <c r="AJ38" i="7"/>
  <c r="AJ37" i="7"/>
  <c r="AI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AJ35" i="7"/>
  <c r="AJ34" i="7"/>
  <c r="AJ33" i="7"/>
  <c r="AJ31" i="7"/>
  <c r="AJ30" i="7"/>
  <c r="AJ29" i="7"/>
  <c r="AJ28" i="7"/>
  <c r="AG66" i="7"/>
  <c r="Q66" i="7"/>
  <c r="AJ25" i="7"/>
  <c r="AJ24" i="7"/>
  <c r="AJ22" i="7"/>
  <c r="AJ21" i="7"/>
  <c r="AJ20" i="7"/>
  <c r="AJ19" i="7"/>
  <c r="AJ18" i="7"/>
  <c r="AJ17" i="7"/>
  <c r="AJ16" i="7"/>
  <c r="AJ15" i="7"/>
  <c r="AJ14" i="7"/>
  <c r="AJ12" i="7"/>
  <c r="AJ11" i="7"/>
  <c r="AJ10" i="7"/>
  <c r="AJ9" i="7"/>
  <c r="AJ8" i="7"/>
  <c r="AJ7" i="7"/>
  <c r="AJ6" i="7"/>
  <c r="AJ5" i="7"/>
  <c r="AJ64" i="6"/>
  <c r="AJ63" i="6"/>
  <c r="AJ62" i="6"/>
  <c r="AJ60" i="6"/>
  <c r="AJ59" i="6"/>
  <c r="AJ58" i="6"/>
  <c r="AJ56" i="6"/>
  <c r="AJ55" i="6"/>
  <c r="AJ54" i="6"/>
  <c r="AJ53" i="6"/>
  <c r="AJ51" i="6"/>
  <c r="AJ50" i="6"/>
  <c r="AJ49" i="6"/>
  <c r="AJ47" i="6"/>
  <c r="AJ46" i="6"/>
  <c r="AJ45" i="6"/>
  <c r="AJ43" i="6"/>
  <c r="AJ41" i="6"/>
  <c r="AJ40" i="6"/>
  <c r="AJ39" i="6"/>
  <c r="AJ38" i="6"/>
  <c r="AJ37" i="6"/>
  <c r="AJ35" i="6"/>
  <c r="AJ34" i="6"/>
  <c r="AJ33" i="6"/>
  <c r="AJ31" i="6"/>
  <c r="AJ30" i="6"/>
  <c r="AJ29" i="6"/>
  <c r="AJ28" i="6"/>
  <c r="AB66" i="6"/>
  <c r="J68" i="3"/>
  <c r="AJ25" i="6"/>
  <c r="AJ24" i="6"/>
  <c r="AJ22" i="6"/>
  <c r="AJ21" i="6"/>
  <c r="AJ20" i="6"/>
  <c r="AJ19" i="6"/>
  <c r="AJ18" i="6"/>
  <c r="AJ17" i="6"/>
  <c r="AJ16" i="6"/>
  <c r="AJ15" i="6"/>
  <c r="AJ14" i="6"/>
  <c r="R66" i="6"/>
  <c r="N66" i="6"/>
  <c r="J66" i="6"/>
  <c r="AJ12" i="6"/>
  <c r="AJ11" i="6"/>
  <c r="AJ10" i="6"/>
  <c r="AJ9" i="6"/>
  <c r="AJ8" i="6"/>
  <c r="AJ7" i="6"/>
  <c r="AJ6" i="6"/>
  <c r="AJ5" i="6"/>
  <c r="AJ64" i="5"/>
  <c r="AJ63" i="5"/>
  <c r="AJ62" i="5"/>
  <c r="AJ60" i="5"/>
  <c r="AJ59" i="5"/>
  <c r="AJ58" i="5"/>
  <c r="AJ56" i="5"/>
  <c r="AJ55" i="5"/>
  <c r="AJ54" i="5"/>
  <c r="AJ53" i="5"/>
  <c r="AJ51" i="5"/>
  <c r="AJ50" i="5"/>
  <c r="AJ49" i="5"/>
  <c r="AJ47" i="5"/>
  <c r="AJ46" i="5"/>
  <c r="AJ45" i="5"/>
  <c r="AJ43" i="5"/>
  <c r="AJ41" i="5"/>
  <c r="AJ40" i="5"/>
  <c r="AJ39" i="5"/>
  <c r="AJ38" i="5"/>
  <c r="AJ37" i="5"/>
  <c r="AJ35" i="5"/>
  <c r="AJ34" i="5"/>
  <c r="AJ33" i="5"/>
  <c r="AJ31" i="5"/>
  <c r="AJ30" i="5"/>
  <c r="AJ29" i="5"/>
  <c r="AJ28" i="5"/>
  <c r="V66" i="5"/>
  <c r="I68" i="3"/>
  <c r="AJ25" i="5"/>
  <c r="AJ24" i="5"/>
  <c r="AJ22" i="5"/>
  <c r="AJ21" i="5"/>
  <c r="AJ20" i="5"/>
  <c r="AJ19" i="5"/>
  <c r="AJ18" i="5"/>
  <c r="AJ17" i="5"/>
  <c r="AJ16" i="5"/>
  <c r="AJ15" i="5"/>
  <c r="AJ14" i="5"/>
  <c r="AJ12" i="5"/>
  <c r="AJ11" i="5"/>
  <c r="AJ10" i="5"/>
  <c r="AJ9" i="5"/>
  <c r="AJ8" i="5"/>
  <c r="AJ7" i="5"/>
  <c r="AJ6" i="5"/>
  <c r="AJ5" i="5"/>
  <c r="AJ64" i="4"/>
  <c r="AJ63" i="4"/>
  <c r="AJ62" i="4"/>
  <c r="AJ60" i="4"/>
  <c r="AJ59" i="4"/>
  <c r="AJ58" i="4"/>
  <c r="AJ56" i="4"/>
  <c r="AJ55" i="4"/>
  <c r="AJ54" i="4"/>
  <c r="AJ53" i="4"/>
  <c r="AJ51" i="4"/>
  <c r="AJ50" i="4"/>
  <c r="AJ49" i="4"/>
  <c r="AJ47" i="4"/>
  <c r="AJ46" i="4"/>
  <c r="AJ45" i="4"/>
  <c r="AJ43" i="4"/>
  <c r="AJ41" i="4"/>
  <c r="AJ40" i="4"/>
  <c r="AJ39" i="4"/>
  <c r="AJ38" i="4"/>
  <c r="AJ37" i="4"/>
  <c r="AJ35" i="4"/>
  <c r="AJ34" i="4"/>
  <c r="AJ33" i="4"/>
  <c r="AJ31" i="4"/>
  <c r="AJ30" i="4"/>
  <c r="AJ29" i="4"/>
  <c r="AJ28" i="4"/>
  <c r="AF66" i="4"/>
  <c r="AB66" i="4"/>
  <c r="X66" i="4"/>
  <c r="L66" i="4"/>
  <c r="H68" i="3"/>
  <c r="AJ25" i="4"/>
  <c r="AJ24" i="4"/>
  <c r="AJ22" i="4"/>
  <c r="AJ21" i="4"/>
  <c r="AJ20" i="4"/>
  <c r="AJ19" i="4"/>
  <c r="AJ18" i="4"/>
  <c r="AJ17" i="4"/>
  <c r="AJ16" i="4"/>
  <c r="AJ15" i="4"/>
  <c r="AJ14" i="4"/>
  <c r="AJ12" i="4"/>
  <c r="AJ11" i="4"/>
  <c r="AJ10" i="4"/>
  <c r="AJ9" i="4"/>
  <c r="AJ8" i="4"/>
  <c r="AJ7" i="4"/>
  <c r="AJ6" i="4"/>
  <c r="AJ5" i="4"/>
  <c r="AJ64" i="2"/>
  <c r="AJ63" i="2"/>
  <c r="AJ62" i="2"/>
  <c r="AJ60" i="2"/>
  <c r="AJ59" i="2"/>
  <c r="AJ58" i="2"/>
  <c r="AJ56" i="2"/>
  <c r="AJ55" i="2"/>
  <c r="AJ54" i="2"/>
  <c r="AJ53" i="2"/>
  <c r="AJ51" i="2"/>
  <c r="AJ50" i="2"/>
  <c r="AJ49" i="2"/>
  <c r="AJ47" i="2"/>
  <c r="AJ46" i="2"/>
  <c r="AJ45" i="2"/>
  <c r="AJ43" i="2"/>
  <c r="AJ41" i="2"/>
  <c r="AJ40" i="2"/>
  <c r="AJ39" i="2"/>
  <c r="AJ38" i="2"/>
  <c r="AJ37" i="2"/>
  <c r="AJ35" i="2"/>
  <c r="AJ34" i="2"/>
  <c r="AJ33" i="2"/>
  <c r="AJ31" i="2"/>
  <c r="AJ30" i="2"/>
  <c r="AJ29" i="2"/>
  <c r="AJ28" i="2"/>
  <c r="AJ25" i="2"/>
  <c r="AJ24" i="2"/>
  <c r="AJ22" i="2"/>
  <c r="AJ21" i="2"/>
  <c r="AJ20" i="2"/>
  <c r="AJ19" i="2"/>
  <c r="AJ18" i="2"/>
  <c r="AJ17" i="2"/>
  <c r="AJ16" i="2"/>
  <c r="AJ15" i="2"/>
  <c r="AJ14" i="2"/>
  <c r="AJ12" i="2"/>
  <c r="AJ11" i="2"/>
  <c r="AJ10" i="2"/>
  <c r="AJ9" i="2"/>
  <c r="AJ8" i="2"/>
  <c r="AJ7" i="2"/>
  <c r="AJ6" i="2"/>
  <c r="AJ5" i="2"/>
  <c r="M68" i="3"/>
  <c r="G53" i="3"/>
  <c r="G103" i="3"/>
  <c r="N66" i="4"/>
  <c r="AD66" i="4"/>
  <c r="I66" i="5"/>
  <c r="M66" i="5"/>
  <c r="Q66" i="5"/>
  <c r="U66" i="5"/>
  <c r="Y66" i="5"/>
  <c r="AC66" i="5"/>
  <c r="AG66" i="5"/>
  <c r="I53" i="3"/>
  <c r="I54" i="3" s="1"/>
  <c r="L66" i="6"/>
  <c r="AC66" i="8"/>
  <c r="V66" i="6"/>
  <c r="Z66" i="6"/>
  <c r="AD66" i="6"/>
  <c r="AH66" i="6"/>
  <c r="J83" i="3"/>
  <c r="AE8" i="19" s="1"/>
  <c r="J88" i="3"/>
  <c r="J89" i="3" s="1"/>
  <c r="AJ36" i="7"/>
  <c r="K53" i="3" s="1"/>
  <c r="H66" i="8"/>
  <c r="L66" i="8"/>
  <c r="P66" i="8"/>
  <c r="T66" i="8"/>
  <c r="X66" i="8"/>
  <c r="AB66" i="8"/>
  <c r="AF66" i="8"/>
  <c r="M71" i="3"/>
  <c r="G88" i="3"/>
  <c r="G98" i="3"/>
  <c r="K66" i="4"/>
  <c r="O66" i="4"/>
  <c r="S66" i="4"/>
  <c r="W66" i="4"/>
  <c r="AA66" i="4"/>
  <c r="AE66" i="4"/>
  <c r="AI66" i="4"/>
  <c r="T66" i="4"/>
  <c r="AE66" i="5"/>
  <c r="H83" i="3"/>
  <c r="AE6" i="19" s="1"/>
  <c r="P66" i="4"/>
  <c r="H88" i="3"/>
  <c r="H89" i="3" s="1"/>
  <c r="K66" i="5"/>
  <c r="I83" i="3"/>
  <c r="AE7" i="19" s="1"/>
  <c r="I103" i="3"/>
  <c r="G83" i="3"/>
  <c r="AE5" i="19" s="1"/>
  <c r="H58" i="3"/>
  <c r="U66" i="4"/>
  <c r="H73" i="3"/>
  <c r="H74" i="3" s="1"/>
  <c r="H66" i="5"/>
  <c r="L66" i="5"/>
  <c r="P66" i="5"/>
  <c r="T66" i="5"/>
  <c r="X66" i="5"/>
  <c r="AB66" i="5"/>
  <c r="AF66" i="5"/>
  <c r="I78" i="3"/>
  <c r="I98" i="3"/>
  <c r="I99" i="3" s="1"/>
  <c r="O66" i="6"/>
  <c r="AE66" i="6"/>
  <c r="J103" i="3"/>
  <c r="F66" i="7"/>
  <c r="J66" i="7"/>
  <c r="N66" i="7"/>
  <c r="R66" i="7"/>
  <c r="V66" i="7"/>
  <c r="Z66" i="7"/>
  <c r="AD66" i="7"/>
  <c r="AH66" i="7"/>
  <c r="K68" i="3"/>
  <c r="K71" i="3" s="1"/>
  <c r="K83" i="3"/>
  <c r="K88" i="3"/>
  <c r="I66" i="8"/>
  <c r="M66" i="8"/>
  <c r="Q66" i="8"/>
  <c r="U66" i="8"/>
  <c r="Y66" i="8"/>
  <c r="AG66" i="8"/>
  <c r="L53" i="3"/>
  <c r="L54" i="3" s="1"/>
  <c r="L93" i="3"/>
  <c r="L96" i="3" s="1"/>
  <c r="G66" i="9"/>
  <c r="K66" i="9"/>
  <c r="O66" i="9"/>
  <c r="S66" i="9"/>
  <c r="W66" i="9"/>
  <c r="AA66" i="9"/>
  <c r="AE66" i="9"/>
  <c r="AI66" i="9"/>
  <c r="M53" i="3"/>
  <c r="M93" i="3"/>
  <c r="M103" i="3"/>
  <c r="F66" i="10"/>
  <c r="J66" i="10"/>
  <c r="N66" i="10"/>
  <c r="R66" i="10"/>
  <c r="V66" i="10"/>
  <c r="Z66" i="10"/>
  <c r="AD66" i="10"/>
  <c r="AH66" i="10"/>
  <c r="N83" i="3"/>
  <c r="N86" i="3" s="1"/>
  <c r="U66" i="11"/>
  <c r="AJ32" i="11"/>
  <c r="O73" i="3" s="1"/>
  <c r="O74" i="3" s="1"/>
  <c r="AJ36" i="11"/>
  <c r="O53" i="3" s="1"/>
  <c r="AJ57" i="11"/>
  <c r="O93" i="3" s="1"/>
  <c r="O94" i="3" s="1"/>
  <c r="H66" i="12"/>
  <c r="L66" i="12"/>
  <c r="P66" i="12"/>
  <c r="T66" i="12"/>
  <c r="X66" i="12"/>
  <c r="AB66" i="12"/>
  <c r="AF66" i="12"/>
  <c r="P78" i="3"/>
  <c r="P79" i="3" s="1"/>
  <c r="P98" i="3"/>
  <c r="K66" i="13"/>
  <c r="O66" i="13"/>
  <c r="S66" i="13"/>
  <c r="W66" i="13"/>
  <c r="AA66" i="13"/>
  <c r="AE66" i="13"/>
  <c r="AI66" i="13"/>
  <c r="Q83" i="3"/>
  <c r="AH37" i="19" s="1"/>
  <c r="Q103" i="3"/>
  <c r="Q104" i="3" s="1"/>
  <c r="J98" i="3"/>
  <c r="J99" i="3" s="1"/>
  <c r="K66" i="7"/>
  <c r="O66" i="7"/>
  <c r="S66" i="7"/>
  <c r="W66" i="7"/>
  <c r="AA66" i="7"/>
  <c r="AE66" i="7"/>
  <c r="AI66" i="7"/>
  <c r="K103" i="3"/>
  <c r="J66" i="8"/>
  <c r="N66" i="8"/>
  <c r="R66" i="8"/>
  <c r="V66" i="8"/>
  <c r="Z66" i="8"/>
  <c r="AD66" i="8"/>
  <c r="AH66" i="8"/>
  <c r="L88" i="3"/>
  <c r="L91" i="3" s="1"/>
  <c r="L66" i="9"/>
  <c r="P66" i="9"/>
  <c r="T66" i="9"/>
  <c r="X66" i="9"/>
  <c r="AB66" i="9"/>
  <c r="AF66" i="9"/>
  <c r="M88" i="3"/>
  <c r="M91" i="3" s="1"/>
  <c r="K66" i="10"/>
  <c r="O66" i="10"/>
  <c r="S66" i="10"/>
  <c r="W66" i="10"/>
  <c r="AA66" i="10"/>
  <c r="AE66" i="10"/>
  <c r="AI66" i="10"/>
  <c r="N53" i="3"/>
  <c r="N93" i="3"/>
  <c r="AE38" i="19" s="1"/>
  <c r="N103" i="3"/>
  <c r="J66" i="11"/>
  <c r="N66" i="11"/>
  <c r="R66" i="11"/>
  <c r="V66" i="11"/>
  <c r="Z66" i="11"/>
  <c r="AD66" i="11"/>
  <c r="AH66" i="11"/>
  <c r="AJ48" i="11"/>
  <c r="O83" i="3" s="1"/>
  <c r="O84" i="3" s="1"/>
  <c r="AJ52" i="11"/>
  <c r="O88" i="3" s="1"/>
  <c r="I66" i="12"/>
  <c r="M66" i="12"/>
  <c r="Q66" i="12"/>
  <c r="U66" i="12"/>
  <c r="Y66" i="12"/>
  <c r="AC66" i="12"/>
  <c r="AG66" i="12"/>
  <c r="P53" i="3"/>
  <c r="P54" i="3" s="1"/>
  <c r="X66" i="13"/>
  <c r="H53" i="3"/>
  <c r="H54" i="3" s="1"/>
  <c r="H103" i="3"/>
  <c r="I88" i="3"/>
  <c r="I91" i="3" s="1"/>
  <c r="I66" i="6"/>
  <c r="M66" i="6"/>
  <c r="Q66" i="6"/>
  <c r="U66" i="6"/>
  <c r="Y66" i="6"/>
  <c r="AC66" i="6"/>
  <c r="AG66" i="6"/>
  <c r="J73" i="3"/>
  <c r="J74" i="3" s="1"/>
  <c r="J53" i="3"/>
  <c r="J54" i="3" s="1"/>
  <c r="H66" i="7"/>
  <c r="X66" i="7"/>
  <c r="K66" i="8"/>
  <c r="O66" i="8"/>
  <c r="S66" i="8"/>
  <c r="W66" i="8"/>
  <c r="AA66" i="8"/>
  <c r="AE66" i="8"/>
  <c r="AI66" i="8"/>
  <c r="L83" i="3"/>
  <c r="L84" i="3" s="1"/>
  <c r="I66" i="9"/>
  <c r="M66" i="9"/>
  <c r="Q66" i="9"/>
  <c r="U66" i="9"/>
  <c r="Y66" i="9"/>
  <c r="AC66" i="9"/>
  <c r="AG66" i="9"/>
  <c r="L66" i="10"/>
  <c r="P66" i="10"/>
  <c r="T66" i="10"/>
  <c r="X66" i="10"/>
  <c r="AB66" i="10"/>
  <c r="AF66" i="10"/>
  <c r="N88" i="3"/>
  <c r="N91" i="3" s="1"/>
  <c r="O66" i="11"/>
  <c r="AE66" i="11"/>
  <c r="AJ65" i="11"/>
  <c r="O103" i="3" s="1"/>
  <c r="V66" i="12"/>
  <c r="P83" i="3"/>
  <c r="P84" i="3" s="1"/>
  <c r="P88" i="3"/>
  <c r="I66" i="13"/>
  <c r="Y66" i="13"/>
  <c r="Q53" i="3"/>
  <c r="Q56" i="3" s="1"/>
  <c r="Q98" i="3"/>
  <c r="Q99" i="3" s="1"/>
  <c r="G66" i="13"/>
  <c r="Q93" i="3"/>
  <c r="Q94" i="3" s="1"/>
  <c r="Q78" i="3"/>
  <c r="Q81" i="3" s="1"/>
  <c r="Q73" i="3"/>
  <c r="Q74" i="3" s="1"/>
  <c r="P93" i="3"/>
  <c r="AG38" i="19" s="1"/>
  <c r="P73" i="3"/>
  <c r="AJ61" i="11"/>
  <c r="O98" i="3" s="1"/>
  <c r="AG13" i="19" s="1"/>
  <c r="F66" i="11"/>
  <c r="AJ44" i="11"/>
  <c r="O78" i="3" s="1"/>
  <c r="N98" i="3"/>
  <c r="N101" i="3" s="1"/>
  <c r="H66" i="10"/>
  <c r="N78" i="3"/>
  <c r="G66" i="10"/>
  <c r="N73" i="3"/>
  <c r="N76" i="3" s="1"/>
  <c r="N58" i="3"/>
  <c r="N61" i="3" s="1"/>
  <c r="M98" i="3"/>
  <c r="AG11" i="19" s="1"/>
  <c r="M78" i="3"/>
  <c r="M79" i="3" s="1"/>
  <c r="H66" i="9"/>
  <c r="M73" i="3"/>
  <c r="M76" i="3" s="1"/>
  <c r="L98" i="3"/>
  <c r="AG10" i="19" s="1"/>
  <c r="F66" i="8"/>
  <c r="L78" i="3"/>
  <c r="L79" i="3" s="1"/>
  <c r="G66" i="8"/>
  <c r="L73" i="3"/>
  <c r="K98" i="3"/>
  <c r="K93" i="3"/>
  <c r="K96" i="3" s="1"/>
  <c r="G66" i="7"/>
  <c r="K78" i="3"/>
  <c r="K73" i="3"/>
  <c r="K74" i="3" s="1"/>
  <c r="J93" i="3"/>
  <c r="J96" i="3" s="1"/>
  <c r="F66" i="6"/>
  <c r="J78" i="3"/>
  <c r="J79" i="3" s="1"/>
  <c r="J58" i="3"/>
  <c r="I93" i="3"/>
  <c r="I96" i="3" s="1"/>
  <c r="I73" i="3"/>
  <c r="H98" i="3"/>
  <c r="H99" i="3" s="1"/>
  <c r="G66" i="4"/>
  <c r="H93" i="3"/>
  <c r="Y38" i="19" s="1"/>
  <c r="H78" i="3"/>
  <c r="H63" i="3"/>
  <c r="H66" i="3" s="1"/>
  <c r="G93" i="3"/>
  <c r="G94" i="3" s="1"/>
  <c r="G78" i="3"/>
  <c r="G81" i="3" s="1"/>
  <c r="G73" i="3"/>
  <c r="G74" i="3" s="1"/>
  <c r="Q58" i="3"/>
  <c r="Q59" i="3" s="1"/>
  <c r="E66" i="12"/>
  <c r="E66" i="11"/>
  <c r="E66" i="10"/>
  <c r="E66" i="9"/>
  <c r="E66" i="8"/>
  <c r="E66" i="6"/>
  <c r="E66" i="5"/>
  <c r="E66" i="4"/>
  <c r="G99" i="3"/>
  <c r="F104" i="3"/>
  <c r="G101" i="3"/>
  <c r="J81" i="3"/>
  <c r="K81" i="3"/>
  <c r="K101" i="3"/>
  <c r="O81" i="3"/>
  <c r="O101" i="3"/>
  <c r="P56" i="3"/>
  <c r="P96" i="3"/>
  <c r="G76" i="3"/>
  <c r="H76" i="3"/>
  <c r="H91" i="3"/>
  <c r="K86" i="3"/>
  <c r="M56" i="3"/>
  <c r="M96" i="3"/>
  <c r="P81" i="3"/>
  <c r="P101" i="3"/>
  <c r="F106" i="3"/>
  <c r="G91" i="3"/>
  <c r="J76" i="3"/>
  <c r="J91" i="3"/>
  <c r="K91" i="3"/>
  <c r="M81" i="3"/>
  <c r="N96" i="3"/>
  <c r="O76" i="3"/>
  <c r="O91" i="3"/>
  <c r="P86" i="3"/>
  <c r="P106" i="3"/>
  <c r="Q101" i="3"/>
  <c r="I81" i="3"/>
  <c r="I101" i="3"/>
  <c r="J56" i="3"/>
  <c r="K56" i="3"/>
  <c r="L76" i="3"/>
  <c r="M86" i="3"/>
  <c r="O56" i="3"/>
  <c r="O96" i="3"/>
  <c r="P91" i="3"/>
  <c r="Q106" i="3"/>
  <c r="X4" i="19"/>
  <c r="F101" i="3"/>
  <c r="L131" i="3"/>
  <c r="O131" i="3"/>
  <c r="AD9" i="19"/>
  <c r="AD8" i="19"/>
  <c r="X36" i="19"/>
  <c r="AD4" i="19"/>
  <c r="AD36" i="19"/>
  <c r="AD12" i="19"/>
  <c r="AG36" i="19"/>
  <c r="AC36" i="19"/>
  <c r="AF5" i="19"/>
  <c r="X39" i="19"/>
  <c r="AG5" i="19"/>
  <c r="AG8" i="19"/>
  <c r="AA39" i="19"/>
  <c r="AE9" i="19"/>
  <c r="AB37" i="19"/>
  <c r="AF11" i="19"/>
  <c r="AD38" i="19"/>
  <c r="AE12" i="19"/>
  <c r="X37" i="19"/>
  <c r="Y37" i="19"/>
  <c r="AC31" i="19"/>
  <c r="AC38" i="19"/>
  <c r="AF10" i="19"/>
  <c r="AD39" i="19"/>
  <c r="X14" i="19"/>
  <c r="AF7" i="19"/>
  <c r="Z38" i="19"/>
  <c r="AE11" i="19"/>
  <c r="AD37" i="19"/>
  <c r="AF38" i="19"/>
  <c r="AG37" i="19"/>
  <c r="AG14" i="19"/>
  <c r="AG39" i="19"/>
  <c r="X8" i="19"/>
  <c r="AG9" i="19"/>
  <c r="AB39" i="19"/>
  <c r="AF37" i="19"/>
  <c r="AE13" i="19"/>
  <c r="AG15" i="19"/>
  <c r="J131" i="3"/>
  <c r="I131" i="3"/>
  <c r="F61" i="3"/>
  <c r="G56" i="3"/>
  <c r="F86" i="3"/>
  <c r="F96" i="3"/>
  <c r="F66" i="3"/>
  <c r="W37" i="19"/>
  <c r="W38" i="19"/>
  <c r="AE4" i="19"/>
  <c r="W33" i="19"/>
  <c r="AF4" i="19"/>
  <c r="F21" i="27"/>
  <c r="F30" i="27"/>
  <c r="E29" i="27"/>
  <c r="F48" i="27"/>
  <c r="F57" i="27"/>
  <c r="F66" i="27"/>
  <c r="F75" i="27"/>
  <c r="F84" i="27"/>
  <c r="F93" i="27"/>
  <c r="E56" i="27"/>
  <c r="F102" i="27"/>
  <c r="F111" i="27"/>
  <c r="E92" i="27"/>
  <c r="O11" i="3" l="1"/>
  <c r="O9" i="3"/>
  <c r="AF31" i="19"/>
  <c r="X13" i="19"/>
  <c r="F46" i="3"/>
  <c r="W40" i="19"/>
  <c r="AH4" i="19"/>
  <c r="F29" i="3"/>
  <c r="F31" i="3"/>
  <c r="Q46" i="3"/>
  <c r="AH15" i="19"/>
  <c r="O65" i="26"/>
  <c r="K11" i="3"/>
  <c r="AB31" i="19"/>
  <c r="AD10" i="19"/>
  <c r="AE36" i="19"/>
  <c r="AD13" i="19"/>
  <c r="AD19" i="19" s="1"/>
  <c r="Q31" i="26"/>
  <c r="P41" i="3"/>
  <c r="R8" i="3"/>
  <c r="R11" i="3" s="1"/>
  <c r="AA36" i="19"/>
  <c r="G19" i="3"/>
  <c r="Q52" i="26"/>
  <c r="J46" i="3"/>
  <c r="J44" i="3"/>
  <c r="AH14" i="19"/>
  <c r="R43" i="3"/>
  <c r="R46" i="3" s="1"/>
  <c r="K65" i="26"/>
  <c r="AH10" i="19"/>
  <c r="AD6" i="19"/>
  <c r="H41" i="3"/>
  <c r="Y36" i="19"/>
  <c r="R38" i="3"/>
  <c r="R41" i="3" s="1"/>
  <c r="AD11" i="19"/>
  <c r="K39" i="3"/>
  <c r="Q41" i="3"/>
  <c r="Z36" i="19"/>
  <c r="AH36" i="19"/>
  <c r="O41" i="3"/>
  <c r="AD7" i="19"/>
  <c r="AB36" i="19"/>
  <c r="F36" i="3"/>
  <c r="AC4" i="19"/>
  <c r="E65" i="26"/>
  <c r="M65" i="26"/>
  <c r="AC35" i="19"/>
  <c r="L34" i="3"/>
  <c r="AF35" i="19"/>
  <c r="O36" i="3"/>
  <c r="M34" i="3"/>
  <c r="M36" i="3"/>
  <c r="AC11" i="19"/>
  <c r="G36" i="3"/>
  <c r="G34" i="3"/>
  <c r="Z35" i="19"/>
  <c r="I34" i="3"/>
  <c r="AC7" i="19"/>
  <c r="I36" i="3"/>
  <c r="Q34" i="3"/>
  <c r="Q36" i="3"/>
  <c r="AA35" i="19"/>
  <c r="AC13" i="19"/>
  <c r="J34" i="3"/>
  <c r="P36" i="3"/>
  <c r="AC8" i="19"/>
  <c r="AC9" i="19"/>
  <c r="AC12" i="19"/>
  <c r="L36" i="3"/>
  <c r="H36" i="3"/>
  <c r="R33" i="3"/>
  <c r="R36" i="3" s="1"/>
  <c r="Y35" i="19"/>
  <c r="O31" i="3"/>
  <c r="O29" i="3"/>
  <c r="AF34" i="19"/>
  <c r="AB13" i="19"/>
  <c r="AB19" i="19" s="1"/>
  <c r="H31" i="3"/>
  <c r="Y34" i="19"/>
  <c r="AB6" i="19"/>
  <c r="L31" i="3"/>
  <c r="AC34" i="19"/>
  <c r="K29" i="3"/>
  <c r="AB9" i="19"/>
  <c r="K31" i="3"/>
  <c r="AB34" i="19"/>
  <c r="I31" i="3"/>
  <c r="I29" i="3"/>
  <c r="AB11" i="19"/>
  <c r="M31" i="3"/>
  <c r="Q29" i="3"/>
  <c r="Q31" i="3"/>
  <c r="R28" i="3"/>
  <c r="R31" i="3" s="1"/>
  <c r="J29" i="3"/>
  <c r="AB8" i="19"/>
  <c r="J31" i="3"/>
  <c r="AA34" i="19"/>
  <c r="AB10" i="19"/>
  <c r="G31" i="3"/>
  <c r="AB7" i="19"/>
  <c r="G65" i="26"/>
  <c r="I65" i="26"/>
  <c r="AG34" i="19"/>
  <c r="Q45" i="26"/>
  <c r="R23" i="3"/>
  <c r="R26" i="3" s="1"/>
  <c r="F24" i="3"/>
  <c r="F26" i="3"/>
  <c r="J24" i="3"/>
  <c r="J26" i="3"/>
  <c r="K26" i="3"/>
  <c r="K24" i="3"/>
  <c r="Z9" i="19"/>
  <c r="O26" i="3"/>
  <c r="O24" i="3"/>
  <c r="AD32" i="19"/>
  <c r="Z11" i="19"/>
  <c r="M26" i="3"/>
  <c r="H26" i="3"/>
  <c r="H24" i="3"/>
  <c r="J65" i="26"/>
  <c r="H65" i="26"/>
  <c r="I48" i="3"/>
  <c r="I51" i="3" s="1"/>
  <c r="F65" i="26"/>
  <c r="F21" i="3"/>
  <c r="R18" i="3"/>
  <c r="R21" i="3" s="1"/>
  <c r="J21" i="3"/>
  <c r="L21" i="3"/>
  <c r="W41" i="19"/>
  <c r="Y4" i="19"/>
  <c r="R13" i="3"/>
  <c r="R16" i="3" s="1"/>
  <c r="F16" i="3"/>
  <c r="J16" i="3"/>
  <c r="J14" i="3"/>
  <c r="N16" i="3"/>
  <c r="AE41" i="19"/>
  <c r="O48" i="3"/>
  <c r="O16" i="3"/>
  <c r="L16" i="3"/>
  <c r="L48" i="3"/>
  <c r="L49" i="3" s="1"/>
  <c r="P16" i="3"/>
  <c r="P48" i="3"/>
  <c r="AA41" i="19"/>
  <c r="G14" i="3"/>
  <c r="I16" i="3"/>
  <c r="N48" i="3"/>
  <c r="N132" i="3" s="1"/>
  <c r="P65" i="26"/>
  <c r="Q25" i="26"/>
  <c r="N65" i="26"/>
  <c r="Y41" i="19"/>
  <c r="Q48" i="3"/>
  <c r="Q51" i="3" s="1"/>
  <c r="X11" i="19"/>
  <c r="M11" i="3"/>
  <c r="M9" i="3"/>
  <c r="M48" i="3"/>
  <c r="AD31" i="19"/>
  <c r="X31" i="19"/>
  <c r="X5" i="19"/>
  <c r="G11" i="3"/>
  <c r="G9" i="3"/>
  <c r="X9" i="19"/>
  <c r="Q15" i="26"/>
  <c r="Q65" i="26" s="1"/>
  <c r="Q11" i="3"/>
  <c r="N11" i="3"/>
  <c r="I9" i="3"/>
  <c r="Q9" i="3"/>
  <c r="L65" i="26"/>
  <c r="J9" i="3"/>
  <c r="K48" i="3"/>
  <c r="K49" i="3" s="1"/>
  <c r="J48" i="3"/>
  <c r="H9" i="3"/>
  <c r="X12" i="19"/>
  <c r="H48" i="3"/>
  <c r="H49" i="3" s="1"/>
  <c r="F48" i="3"/>
  <c r="F51" i="3" s="1"/>
  <c r="AF15" i="19"/>
  <c r="Q96" i="3"/>
  <c r="AH39" i="19"/>
  <c r="AH40" i="19"/>
  <c r="AH38" i="19"/>
  <c r="Q86" i="3"/>
  <c r="Q84" i="3"/>
  <c r="AE15" i="19"/>
  <c r="AC15" i="19"/>
  <c r="Q79" i="3"/>
  <c r="AH35" i="19"/>
  <c r="X15" i="19"/>
  <c r="AH31" i="19"/>
  <c r="AH34" i="19"/>
  <c r="AB15" i="19"/>
  <c r="Q76" i="3"/>
  <c r="Q68" i="3"/>
  <c r="Q66" i="3"/>
  <c r="Q108" i="3"/>
  <c r="Q109" i="3" s="1"/>
  <c r="AA15" i="19"/>
  <c r="AH33" i="19"/>
  <c r="Q64" i="3"/>
  <c r="E66" i="13"/>
  <c r="AJ66" i="13" s="1"/>
  <c r="Q61" i="3"/>
  <c r="Y15" i="19"/>
  <c r="AH41" i="19"/>
  <c r="AB14" i="19"/>
  <c r="AG31" i="19"/>
  <c r="AC14" i="19"/>
  <c r="AF14" i="19"/>
  <c r="AG40" i="19"/>
  <c r="AE14" i="19"/>
  <c r="P76" i="3"/>
  <c r="AG32" i="19"/>
  <c r="Z14" i="19"/>
  <c r="P71" i="3"/>
  <c r="F66" i="12"/>
  <c r="P66" i="3"/>
  <c r="AG33" i="19"/>
  <c r="AA14" i="19"/>
  <c r="G66" i="12"/>
  <c r="AG41" i="19"/>
  <c r="P108" i="3"/>
  <c r="P109" i="3" s="1"/>
  <c r="P61" i="3"/>
  <c r="Y14" i="19"/>
  <c r="H66" i="11"/>
  <c r="AJ23" i="11"/>
  <c r="O63" i="3" s="1"/>
  <c r="O61" i="3"/>
  <c r="Y13" i="19"/>
  <c r="AF41" i="19"/>
  <c r="G66" i="11"/>
  <c r="AJ66" i="11" s="1"/>
  <c r="AF40" i="19"/>
  <c r="O106" i="3"/>
  <c r="AH13" i="19"/>
  <c r="AH19" i="19" s="1"/>
  <c r="O108" i="3"/>
  <c r="O109" i="3" s="1"/>
  <c r="O104" i="3"/>
  <c r="AF39" i="19"/>
  <c r="O99" i="3"/>
  <c r="AF13" i="19"/>
  <c r="O86" i="3"/>
  <c r="Z13" i="19"/>
  <c r="O69" i="3"/>
  <c r="AF32" i="19"/>
  <c r="N71" i="3"/>
  <c r="Z12" i="19"/>
  <c r="AE32" i="19"/>
  <c r="AJ23" i="10"/>
  <c r="N63" i="3" s="1"/>
  <c r="N66" i="3" s="1"/>
  <c r="Y12" i="19"/>
  <c r="AE37" i="19"/>
  <c r="AF12" i="19"/>
  <c r="AE39" i="19"/>
  <c r="AJ66" i="10"/>
  <c r="N106" i="3"/>
  <c r="AE40" i="19"/>
  <c r="AH12" i="19"/>
  <c r="AG12" i="19"/>
  <c r="N81" i="3"/>
  <c r="AE35" i="19"/>
  <c r="AE31" i="19"/>
  <c r="N56" i="3"/>
  <c r="AE34" i="19"/>
  <c r="AB12" i="19"/>
  <c r="AJ23" i="9"/>
  <c r="M63" i="3" s="1"/>
  <c r="AJ13" i="9"/>
  <c r="M58" i="3" s="1"/>
  <c r="M106" i="3"/>
  <c r="AH11" i="19"/>
  <c r="AD40" i="19"/>
  <c r="M101" i="3"/>
  <c r="M108" i="3"/>
  <c r="M109" i="3" s="1"/>
  <c r="AD35" i="19"/>
  <c r="AD34" i="19"/>
  <c r="M74" i="3"/>
  <c r="AJ66" i="9"/>
  <c r="Y11" i="19"/>
  <c r="AJ27" i="8"/>
  <c r="L68" i="3" s="1"/>
  <c r="L71" i="3" s="1"/>
  <c r="AJ23" i="8"/>
  <c r="L63" i="3" s="1"/>
  <c r="L64" i="3" s="1"/>
  <c r="AJ13" i="8"/>
  <c r="L58" i="3" s="1"/>
  <c r="L61" i="3" s="1"/>
  <c r="AC40" i="19"/>
  <c r="L106" i="3"/>
  <c r="L104" i="3"/>
  <c r="AC39" i="19"/>
  <c r="L101" i="3"/>
  <c r="L99" i="3"/>
  <c r="R88" i="3"/>
  <c r="R91" i="3" s="1"/>
  <c r="L89" i="3"/>
  <c r="AE10" i="19"/>
  <c r="L86" i="3"/>
  <c r="AC37" i="19"/>
  <c r="AI37" i="19" s="1"/>
  <c r="L81" i="3"/>
  <c r="X10" i="19"/>
  <c r="L56" i="3"/>
  <c r="Y10" i="19"/>
  <c r="AJ66" i="8"/>
  <c r="AF9" i="19"/>
  <c r="AB35" i="19"/>
  <c r="K76" i="3"/>
  <c r="K104" i="3"/>
  <c r="K106" i="3"/>
  <c r="AH9" i="19"/>
  <c r="AB40" i="19"/>
  <c r="AB38" i="19"/>
  <c r="M66" i="7"/>
  <c r="AC66" i="7"/>
  <c r="I66" i="7"/>
  <c r="U66" i="7"/>
  <c r="Y66" i="7"/>
  <c r="AB32" i="19"/>
  <c r="K64" i="3"/>
  <c r="AA9" i="19"/>
  <c r="K66" i="3"/>
  <c r="AB33" i="19"/>
  <c r="E66" i="7"/>
  <c r="K61" i="3"/>
  <c r="AB41" i="19"/>
  <c r="Y9" i="19"/>
  <c r="K108" i="3"/>
  <c r="AA31" i="19"/>
  <c r="J106" i="3"/>
  <c r="AA40" i="19"/>
  <c r="J104" i="3"/>
  <c r="AH8" i="19"/>
  <c r="J101" i="3"/>
  <c r="AA38" i="19"/>
  <c r="J94" i="3"/>
  <c r="AF8" i="19"/>
  <c r="J84" i="3"/>
  <c r="AA37" i="19"/>
  <c r="J86" i="3"/>
  <c r="J69" i="3"/>
  <c r="J71" i="3"/>
  <c r="Z8" i="19"/>
  <c r="AA32" i="19"/>
  <c r="P66" i="6"/>
  <c r="AF66" i="6"/>
  <c r="T66" i="6"/>
  <c r="X66" i="6"/>
  <c r="J64" i="3"/>
  <c r="J66" i="3"/>
  <c r="AA33" i="19"/>
  <c r="AA8" i="19"/>
  <c r="H66" i="6"/>
  <c r="Y8" i="19"/>
  <c r="J61" i="3"/>
  <c r="J59" i="3"/>
  <c r="J108" i="3"/>
  <c r="AH7" i="19"/>
  <c r="I106" i="3"/>
  <c r="Z40" i="19"/>
  <c r="AG7" i="19"/>
  <c r="Z39" i="19"/>
  <c r="I89" i="3"/>
  <c r="Z37" i="19"/>
  <c r="I86" i="3"/>
  <c r="X7" i="19"/>
  <c r="X16" i="19" s="1"/>
  <c r="I56" i="3"/>
  <c r="Z31" i="19"/>
  <c r="Z34" i="19"/>
  <c r="I76" i="3"/>
  <c r="I71" i="3"/>
  <c r="Z32" i="19"/>
  <c r="Z7" i="19"/>
  <c r="J66" i="5"/>
  <c r="Z66" i="5"/>
  <c r="R66" i="5"/>
  <c r="N66" i="5"/>
  <c r="AD66" i="5"/>
  <c r="AH66" i="5"/>
  <c r="I63" i="3"/>
  <c r="I59" i="3"/>
  <c r="Y7" i="19"/>
  <c r="I61" i="3"/>
  <c r="I108" i="3"/>
  <c r="I109" i="3" s="1"/>
  <c r="Z41" i="19"/>
  <c r="F66" i="5"/>
  <c r="AF6" i="19"/>
  <c r="H96" i="3"/>
  <c r="R93" i="3"/>
  <c r="R96" i="3" s="1"/>
  <c r="H81" i="3"/>
  <c r="H56" i="3"/>
  <c r="Y31" i="19"/>
  <c r="X6" i="19"/>
  <c r="Y40" i="19"/>
  <c r="H106" i="3"/>
  <c r="AH6" i="19"/>
  <c r="H101" i="3"/>
  <c r="AG6" i="19"/>
  <c r="Y39" i="19"/>
  <c r="AF16" i="19"/>
  <c r="H86" i="3"/>
  <c r="Y32" i="19"/>
  <c r="H71" i="3"/>
  <c r="Z6" i="19"/>
  <c r="H66" i="4"/>
  <c r="AJ66" i="4" s="1"/>
  <c r="Y33" i="19"/>
  <c r="AA6" i="19"/>
  <c r="Y6" i="19"/>
  <c r="H108" i="3"/>
  <c r="H109" i="3" s="1"/>
  <c r="H61" i="3"/>
  <c r="G106" i="3"/>
  <c r="X40" i="19"/>
  <c r="R103" i="3"/>
  <c r="R106" i="3" s="1"/>
  <c r="G104" i="3"/>
  <c r="AH5" i="19"/>
  <c r="G96" i="3"/>
  <c r="X38" i="19"/>
  <c r="AI38" i="19" s="1"/>
  <c r="R83" i="3"/>
  <c r="R86" i="3" s="1"/>
  <c r="G86" i="3"/>
  <c r="AE16" i="19"/>
  <c r="AC5" i="19"/>
  <c r="AC16" i="19" s="1"/>
  <c r="X35" i="19"/>
  <c r="AB5" i="19"/>
  <c r="G68" i="3"/>
  <c r="G108" i="3" s="1"/>
  <c r="G109" i="3" s="1"/>
  <c r="AA5" i="19"/>
  <c r="G66" i="3"/>
  <c r="X33" i="19"/>
  <c r="G59" i="3"/>
  <c r="Y5" i="19"/>
  <c r="G61" i="3"/>
  <c r="X41" i="19"/>
  <c r="G84" i="27"/>
  <c r="N127" i="3" s="1"/>
  <c r="G66" i="27"/>
  <c r="N27" i="24" s="1"/>
  <c r="AG4" i="19"/>
  <c r="W39" i="19"/>
  <c r="AI39" i="19" s="1"/>
  <c r="F56" i="3"/>
  <c r="R53" i="3"/>
  <c r="R56" i="3" s="1"/>
  <c r="W31" i="19"/>
  <c r="F91" i="3"/>
  <c r="W35" i="19"/>
  <c r="Z4" i="19"/>
  <c r="F71" i="3"/>
  <c r="R78" i="3"/>
  <c r="R81" i="3" s="1"/>
  <c r="F99" i="3"/>
  <c r="AA4" i="19"/>
  <c r="F81" i="3"/>
  <c r="F109" i="3"/>
  <c r="AB4" i="19"/>
  <c r="W34" i="19"/>
  <c r="F76" i="3"/>
  <c r="R73" i="3"/>
  <c r="G111" i="27"/>
  <c r="N32" i="24" s="1"/>
  <c r="G48" i="27"/>
  <c r="J127" i="3" s="1"/>
  <c r="AD5" i="19"/>
  <c r="G48" i="3"/>
  <c r="G49" i="3" s="1"/>
  <c r="F132" i="3"/>
  <c r="N44" i="3"/>
  <c r="N39" i="3"/>
  <c r="N19" i="3"/>
  <c r="N99" i="3"/>
  <c r="N6" i="3"/>
  <c r="N34" i="3"/>
  <c r="N79" i="3"/>
  <c r="N104" i="3"/>
  <c r="N131" i="3"/>
  <c r="N74" i="3"/>
  <c r="N94" i="3"/>
  <c r="N29" i="3"/>
  <c r="N9" i="3"/>
  <c r="N54" i="3"/>
  <c r="N24" i="3"/>
  <c r="N84" i="3"/>
  <c r="N69" i="3"/>
  <c r="N59" i="3"/>
  <c r="N89" i="3"/>
  <c r="N14" i="3"/>
  <c r="G44" i="3"/>
  <c r="G39" i="3"/>
  <c r="G89" i="3"/>
  <c r="G64" i="3"/>
  <c r="M6" i="3"/>
  <c r="F79" i="3"/>
  <c r="F19" i="3"/>
  <c r="F131" i="3"/>
  <c r="F74" i="3"/>
  <c r="M104" i="3"/>
  <c r="M84" i="3"/>
  <c r="M29" i="3"/>
  <c r="P14" i="3"/>
  <c r="P104" i="3"/>
  <c r="P34" i="3"/>
  <c r="H29" i="3"/>
  <c r="H79" i="3"/>
  <c r="H94" i="3"/>
  <c r="H69" i="3"/>
  <c r="H64" i="3"/>
  <c r="H59" i="3"/>
  <c r="K44" i="3"/>
  <c r="K34" i="3"/>
  <c r="K19" i="3"/>
  <c r="K99" i="3"/>
  <c r="K131" i="3"/>
  <c r="K59" i="3"/>
  <c r="G102" i="27"/>
  <c r="P127" i="3" s="1"/>
  <c r="H131" i="3"/>
  <c r="G131" i="3"/>
  <c r="G79" i="3"/>
  <c r="K69" i="3"/>
  <c r="M69" i="3"/>
  <c r="R4" i="3"/>
  <c r="G6" i="3"/>
  <c r="F49" i="3"/>
  <c r="K14" i="3"/>
  <c r="K94" i="3"/>
  <c r="K79" i="3"/>
  <c r="G24" i="3"/>
  <c r="P6" i="3"/>
  <c r="F34" i="3"/>
  <c r="F94" i="3"/>
  <c r="M89" i="3"/>
  <c r="M99" i="3"/>
  <c r="H84" i="3"/>
  <c r="H19" i="3"/>
  <c r="H39" i="3"/>
  <c r="P99" i="3"/>
  <c r="P19" i="3"/>
  <c r="I74" i="3"/>
  <c r="I24" i="3"/>
  <c r="I94" i="3"/>
  <c r="I14" i="3"/>
  <c r="I69" i="3"/>
  <c r="L44" i="3"/>
  <c r="L29" i="3"/>
  <c r="L14" i="3"/>
  <c r="L9" i="3"/>
  <c r="L6" i="3"/>
  <c r="O54" i="3"/>
  <c r="O34" i="3"/>
  <c r="O19" i="3"/>
  <c r="O89" i="3"/>
  <c r="O59" i="3"/>
  <c r="Q44" i="3"/>
  <c r="Q39" i="3"/>
  <c r="Q19" i="3"/>
  <c r="Q89" i="3"/>
  <c r="Q69" i="3"/>
  <c r="Q131" i="3"/>
  <c r="E19" i="19"/>
  <c r="M44" i="3"/>
  <c r="M39" i="3"/>
  <c r="M19" i="3"/>
  <c r="M14" i="3"/>
  <c r="P44" i="3"/>
  <c r="P24" i="3"/>
  <c r="P9" i="3"/>
  <c r="P94" i="3"/>
  <c r="P69" i="3"/>
  <c r="F44" i="3"/>
  <c r="F39" i="3"/>
  <c r="F54" i="3"/>
  <c r="F84" i="3"/>
  <c r="F9" i="3"/>
  <c r="F69" i="3"/>
  <c r="F59" i="3"/>
  <c r="G75" i="27"/>
  <c r="M59" i="3"/>
  <c r="P131" i="3"/>
  <c r="F64" i="3"/>
  <c r="M64" i="3"/>
  <c r="Q9" i="25"/>
  <c r="H104" i="3"/>
  <c r="G21" i="27"/>
  <c r="N22" i="24" s="1"/>
  <c r="P59" i="3"/>
  <c r="M131" i="3"/>
  <c r="G84" i="3"/>
  <c r="P64" i="3"/>
  <c r="K89" i="3"/>
  <c r="K84" i="3"/>
  <c r="K54" i="3"/>
  <c r="G54" i="3"/>
  <c r="G29" i="3"/>
  <c r="F6" i="3"/>
  <c r="Q6" i="3"/>
  <c r="H6" i="3"/>
  <c r="F14" i="3"/>
  <c r="F89" i="3"/>
  <c r="I44" i="3"/>
  <c r="I104" i="3"/>
  <c r="I84" i="3"/>
  <c r="I79" i="3"/>
  <c r="O14" i="3"/>
  <c r="O79" i="3"/>
  <c r="O39" i="3"/>
  <c r="Q14" i="3"/>
  <c r="Q24" i="3"/>
  <c r="Q54" i="3"/>
  <c r="M94" i="3"/>
  <c r="M24" i="3"/>
  <c r="M54" i="3"/>
  <c r="H14" i="3"/>
  <c r="H44" i="3"/>
  <c r="H34" i="3"/>
  <c r="P89" i="3"/>
  <c r="P29" i="3"/>
  <c r="P74" i="3"/>
  <c r="L94" i="3"/>
  <c r="L24" i="3"/>
  <c r="L74" i="3"/>
  <c r="AF19" i="19"/>
  <c r="Z19" i="19"/>
  <c r="AG19" i="19"/>
  <c r="Y19" i="19"/>
  <c r="AC19" i="19"/>
  <c r="X19" i="19"/>
  <c r="AE19" i="19"/>
  <c r="C19" i="19"/>
  <c r="D19" i="19"/>
  <c r="G19" i="19"/>
  <c r="F19" i="19"/>
  <c r="AD16" i="19" l="1"/>
  <c r="AI36" i="19"/>
  <c r="AH16" i="19"/>
  <c r="R48" i="3"/>
  <c r="R51" i="3" s="1"/>
  <c r="I49" i="3"/>
  <c r="I132" i="3"/>
  <c r="Q132" i="3"/>
  <c r="N49" i="3"/>
  <c r="AI34" i="19"/>
  <c r="N51" i="3"/>
  <c r="AJ14" i="19"/>
  <c r="Q49" i="3"/>
  <c r="L132" i="3"/>
  <c r="L51" i="3"/>
  <c r="P49" i="3"/>
  <c r="P51" i="3"/>
  <c r="P132" i="3"/>
  <c r="O49" i="3"/>
  <c r="O51" i="3"/>
  <c r="O132" i="3"/>
  <c r="AI31" i="19"/>
  <c r="J49" i="3"/>
  <c r="J51" i="3"/>
  <c r="J132" i="3"/>
  <c r="M132" i="3"/>
  <c r="M51" i="3"/>
  <c r="M49" i="3"/>
  <c r="H132" i="3"/>
  <c r="H51" i="3"/>
  <c r="K132" i="3"/>
  <c r="K51" i="3"/>
  <c r="G127" i="3"/>
  <c r="AI35" i="19"/>
  <c r="Q133" i="3"/>
  <c r="Q134" i="3" s="1"/>
  <c r="Q71" i="3"/>
  <c r="AH32" i="19"/>
  <c r="Z15" i="19"/>
  <c r="AJ15" i="19" s="1"/>
  <c r="Q113" i="3"/>
  <c r="Q114" i="3" s="1"/>
  <c r="Q111" i="3"/>
  <c r="AJ66" i="12"/>
  <c r="P113" i="3"/>
  <c r="P111" i="3"/>
  <c r="P133" i="3"/>
  <c r="O66" i="3"/>
  <c r="O64" i="3"/>
  <c r="AF33" i="19"/>
  <c r="AA13" i="19"/>
  <c r="AA19" i="19" s="1"/>
  <c r="O133" i="3"/>
  <c r="O134" i="3" s="1"/>
  <c r="O137" i="3" s="1"/>
  <c r="O113" i="3"/>
  <c r="O114" i="3" s="1"/>
  <c r="O111" i="3"/>
  <c r="N64" i="3"/>
  <c r="AA12" i="19"/>
  <c r="AJ12" i="19" s="1"/>
  <c r="AE33" i="19"/>
  <c r="N108" i="3"/>
  <c r="N111" i="3" s="1"/>
  <c r="AA11" i="19"/>
  <c r="AJ11" i="19" s="1"/>
  <c r="M66" i="3"/>
  <c r="AD33" i="19"/>
  <c r="M61" i="3"/>
  <c r="AD41" i="19"/>
  <c r="M113" i="3"/>
  <c r="M133" i="3"/>
  <c r="M111" i="3"/>
  <c r="AC32" i="19"/>
  <c r="Z10" i="19"/>
  <c r="AJ10" i="19" s="1"/>
  <c r="L69" i="3"/>
  <c r="AA10" i="19"/>
  <c r="L66" i="3"/>
  <c r="R63" i="3"/>
  <c r="R66" i="3" s="1"/>
  <c r="L108" i="3"/>
  <c r="L109" i="3" s="1"/>
  <c r="AC33" i="19"/>
  <c r="R58" i="3"/>
  <c r="R61" i="3" s="1"/>
  <c r="AC41" i="19"/>
  <c r="L59" i="3"/>
  <c r="L133" i="3"/>
  <c r="L134" i="3" s="1"/>
  <c r="L2" i="27" s="1"/>
  <c r="E62" i="27" s="1"/>
  <c r="AJ66" i="7"/>
  <c r="AJ9" i="19"/>
  <c r="K109" i="3"/>
  <c r="K113" i="3"/>
  <c r="K133" i="3"/>
  <c r="K111" i="3"/>
  <c r="AJ66" i="6"/>
  <c r="AJ8" i="19"/>
  <c r="J109" i="3"/>
  <c r="J133" i="3"/>
  <c r="J113" i="3"/>
  <c r="J111" i="3"/>
  <c r="AI40" i="19"/>
  <c r="I64" i="3"/>
  <c r="AJ66" i="5"/>
  <c r="Z33" i="19"/>
  <c r="I66" i="3"/>
  <c r="AA7" i="19"/>
  <c r="I113" i="3"/>
  <c r="I111" i="3"/>
  <c r="I133" i="3"/>
  <c r="AG16" i="19"/>
  <c r="Y16" i="19"/>
  <c r="AJ6" i="19"/>
  <c r="H111" i="3"/>
  <c r="H133" i="3"/>
  <c r="H113" i="3"/>
  <c r="N29" i="24"/>
  <c r="L127" i="3"/>
  <c r="X32" i="19"/>
  <c r="Z5" i="19"/>
  <c r="R68" i="3"/>
  <c r="R71" i="3" s="1"/>
  <c r="G69" i="3"/>
  <c r="G71" i="3"/>
  <c r="G133" i="3"/>
  <c r="G111" i="3"/>
  <c r="Q127" i="3"/>
  <c r="N31" i="24"/>
  <c r="N25" i="24"/>
  <c r="R54" i="3"/>
  <c r="W32" i="19"/>
  <c r="AI32" i="19" s="1"/>
  <c r="F113" i="3"/>
  <c r="F116" i="3" s="1"/>
  <c r="AB16" i="19"/>
  <c r="AJ4" i="19"/>
  <c r="R76" i="3"/>
  <c r="F133" i="3"/>
  <c r="F111" i="3"/>
  <c r="G113" i="3"/>
  <c r="G132" i="3"/>
  <c r="G51" i="3"/>
  <c r="N28" i="24"/>
  <c r="M127" i="3"/>
  <c r="R131" i="3"/>
  <c r="R99" i="3"/>
  <c r="R14" i="3"/>
  <c r="R34" i="3"/>
  <c r="R29" i="3"/>
  <c r="R79" i="3"/>
  <c r="R9" i="3"/>
  <c r="R104" i="3"/>
  <c r="R84" i="3"/>
  <c r="R24" i="3"/>
  <c r="R94" i="3"/>
  <c r="R6" i="3"/>
  <c r="R19" i="3"/>
  <c r="R44" i="3"/>
  <c r="R39" i="3"/>
  <c r="R49" i="3"/>
  <c r="R89" i="3"/>
  <c r="R74" i="3"/>
  <c r="AI41" i="19" l="1"/>
  <c r="I134" i="3"/>
  <c r="K134" i="3"/>
  <c r="J4" i="27" s="1"/>
  <c r="D53" i="27" s="1"/>
  <c r="R132" i="3"/>
  <c r="H134" i="3"/>
  <c r="H4" i="27" s="1"/>
  <c r="J134" i="3"/>
  <c r="J137" i="3" s="1"/>
  <c r="M134" i="3"/>
  <c r="M135" i="3" s="1"/>
  <c r="O135" i="3"/>
  <c r="P134" i="3"/>
  <c r="N3" i="27" s="1"/>
  <c r="P118" i="3" s="1"/>
  <c r="O116" i="3"/>
  <c r="Z16" i="19"/>
  <c r="N4" i="27"/>
  <c r="E107" i="27" s="1"/>
  <c r="Q135" i="3"/>
  <c r="Q137" i="3"/>
  <c r="Q116" i="3"/>
  <c r="P116" i="3"/>
  <c r="P114" i="3"/>
  <c r="AA16" i="19"/>
  <c r="AJ16" i="19" s="1"/>
  <c r="AJ13" i="19"/>
  <c r="AI33" i="19"/>
  <c r="N2" i="27"/>
  <c r="R64" i="3"/>
  <c r="N133" i="3"/>
  <c r="N134" i="3" s="1"/>
  <c r="N135" i="3" s="1"/>
  <c r="N109" i="3"/>
  <c r="N113" i="3"/>
  <c r="N114" i="3" s="1"/>
  <c r="R59" i="3"/>
  <c r="M116" i="3"/>
  <c r="M114" i="3"/>
  <c r="L111" i="3"/>
  <c r="L113" i="3"/>
  <c r="L114" i="3" s="1"/>
  <c r="L118" i="3"/>
  <c r="L121" i="3" s="1"/>
  <c r="F62" i="27"/>
  <c r="D62" i="27"/>
  <c r="L137" i="3"/>
  <c r="L135" i="3"/>
  <c r="R69" i="3"/>
  <c r="K116" i="3"/>
  <c r="K114" i="3"/>
  <c r="J114" i="3"/>
  <c r="J116" i="3"/>
  <c r="AJ7" i="19"/>
  <c r="I137" i="3"/>
  <c r="I135" i="3"/>
  <c r="J2" i="27"/>
  <c r="I114" i="3"/>
  <c r="I116" i="3"/>
  <c r="H116" i="3"/>
  <c r="H114" i="3"/>
  <c r="H137" i="3"/>
  <c r="AJ5" i="19"/>
  <c r="R133" i="3"/>
  <c r="R134" i="3" s="1"/>
  <c r="R135" i="3" s="1"/>
  <c r="R108" i="3"/>
  <c r="R111" i="3" s="1"/>
  <c r="F134" i="3"/>
  <c r="F135" i="3" s="1"/>
  <c r="F114" i="3"/>
  <c r="G134" i="3"/>
  <c r="G116" i="3"/>
  <c r="G114" i="3"/>
  <c r="L119" i="3"/>
  <c r="C9" i="24"/>
  <c r="P137" i="3" l="1"/>
  <c r="K137" i="3"/>
  <c r="P135" i="3"/>
  <c r="H135" i="3"/>
  <c r="M137" i="3"/>
  <c r="K135" i="3"/>
  <c r="J3" i="27"/>
  <c r="F44" i="27" s="1"/>
  <c r="J135" i="3"/>
  <c r="D107" i="27"/>
  <c r="L4" i="27"/>
  <c r="D80" i="27" s="1"/>
  <c r="L3" i="27"/>
  <c r="N137" i="3"/>
  <c r="N116" i="3"/>
  <c r="R113" i="3"/>
  <c r="R116" i="3" s="1"/>
  <c r="M118" i="3"/>
  <c r="L116" i="3"/>
  <c r="G62" i="27"/>
  <c r="F107" i="27"/>
  <c r="Q118" i="3"/>
  <c r="Q121" i="3" s="1"/>
  <c r="C13" i="24"/>
  <c r="P121" i="3"/>
  <c r="P119" i="3"/>
  <c r="F98" i="27"/>
  <c r="D98" i="27"/>
  <c r="E98" i="27"/>
  <c r="E89" i="27"/>
  <c r="D89" i="27"/>
  <c r="O118" i="3"/>
  <c r="F89" i="27"/>
  <c r="N118" i="3"/>
  <c r="N119" i="3" s="1"/>
  <c r="K118" i="3"/>
  <c r="C8" i="24" s="1"/>
  <c r="F53" i="27"/>
  <c r="E53" i="27"/>
  <c r="J118" i="3"/>
  <c r="D44" i="27"/>
  <c r="E44" i="27"/>
  <c r="E35" i="27"/>
  <c r="F35" i="27"/>
  <c r="I118" i="3"/>
  <c r="D35" i="27"/>
  <c r="F26" i="27"/>
  <c r="E26" i="27"/>
  <c r="D26" i="27"/>
  <c r="H118" i="3"/>
  <c r="R109" i="3"/>
  <c r="F137" i="3"/>
  <c r="H2" i="27"/>
  <c r="E8" i="27" s="1"/>
  <c r="E9" i="27" s="1"/>
  <c r="R137" i="3"/>
  <c r="H3" i="27"/>
  <c r="G135" i="3"/>
  <c r="G137" i="3"/>
  <c r="Q119" i="3"/>
  <c r="C10" i="24"/>
  <c r="M119" i="3"/>
  <c r="M121" i="3"/>
  <c r="G107" i="27" l="1"/>
  <c r="R114" i="3"/>
  <c r="C11" i="24"/>
  <c r="D71" i="27"/>
  <c r="F71" i="27"/>
  <c r="E71" i="27"/>
  <c r="F80" i="27"/>
  <c r="E80" i="27"/>
  <c r="C14" i="24"/>
  <c r="G98" i="27"/>
  <c r="O121" i="3"/>
  <c r="O119" i="3"/>
  <c r="C12" i="24"/>
  <c r="G89" i="27"/>
  <c r="N121" i="3"/>
  <c r="K119" i="3"/>
  <c r="K121" i="3"/>
  <c r="G53" i="27"/>
  <c r="G44" i="27"/>
  <c r="C7" i="24"/>
  <c r="J119" i="3"/>
  <c r="J121" i="3"/>
  <c r="G35" i="27"/>
  <c r="C6" i="24"/>
  <c r="I121" i="3"/>
  <c r="I119" i="3"/>
  <c r="H121" i="3"/>
  <c r="C5" i="24"/>
  <c r="H119" i="3"/>
  <c r="G26" i="27"/>
  <c r="F8" i="27"/>
  <c r="F9" i="27" s="1"/>
  <c r="F12" i="27" s="1"/>
  <c r="G12" i="27" s="1"/>
  <c r="F118" i="3"/>
  <c r="F121" i="3" s="1"/>
  <c r="D8" i="27"/>
  <c r="D9" i="27" s="1"/>
  <c r="D17" i="27"/>
  <c r="F17" i="27"/>
  <c r="G118" i="3"/>
  <c r="E17" i="27"/>
  <c r="E11" i="27"/>
  <c r="E13" i="27"/>
  <c r="G80" i="27" l="1"/>
  <c r="G71" i="27"/>
  <c r="F119" i="3"/>
  <c r="R118" i="3"/>
  <c r="R121" i="3" s="1"/>
  <c r="F13" i="27"/>
  <c r="F18" i="27" s="1"/>
  <c r="F22" i="27" s="1"/>
  <c r="C3" i="24"/>
  <c r="G8" i="27"/>
  <c r="I8" i="27" s="1"/>
  <c r="C4" i="24"/>
  <c r="G121" i="3"/>
  <c r="G119" i="3"/>
  <c r="E18" i="27"/>
  <c r="E22" i="27" s="1"/>
  <c r="E27" i="27" s="1"/>
  <c r="G17" i="27"/>
  <c r="D13" i="27"/>
  <c r="G9" i="27"/>
  <c r="I9" i="27" s="1"/>
  <c r="I13" i="27" s="1"/>
  <c r="D11" i="27"/>
  <c r="G11" i="27" s="1"/>
  <c r="N21" i="24"/>
  <c r="F127" i="3"/>
  <c r="F20" i="27" l="1"/>
  <c r="R119" i="3"/>
  <c r="E20" i="27"/>
  <c r="E30" i="27"/>
  <c r="G30" i="27" s="1"/>
  <c r="E31" i="27"/>
  <c r="E36" i="27" s="1"/>
  <c r="F123" i="3"/>
  <c r="C21" i="24"/>
  <c r="C41" i="24" s="1"/>
  <c r="F27" i="27"/>
  <c r="G13" i="27"/>
  <c r="D18" i="27"/>
  <c r="F125" i="3" l="1"/>
  <c r="F129" i="3"/>
  <c r="I4" i="19"/>
  <c r="F138" i="3"/>
  <c r="C3" i="23" s="1"/>
  <c r="G10" i="27"/>
  <c r="H13" i="27"/>
  <c r="F29" i="27"/>
  <c r="F31" i="27"/>
  <c r="F36" i="27" s="1"/>
  <c r="E40" i="27"/>
  <c r="E45" i="27" s="1"/>
  <c r="E38" i="27"/>
  <c r="G18" i="27"/>
  <c r="D22" i="27"/>
  <c r="D20" i="27"/>
  <c r="G20" i="27" s="1"/>
  <c r="H127" i="3"/>
  <c r="N23" i="24"/>
  <c r="D27" i="27" l="1"/>
  <c r="G22" i="27"/>
  <c r="H18" i="27"/>
  <c r="H17" i="27"/>
  <c r="I17" i="27" s="1"/>
  <c r="I18" i="27" s="1"/>
  <c r="I22" i="27" s="1"/>
  <c r="G14" i="27"/>
  <c r="F40" i="27"/>
  <c r="F45" i="27" s="1"/>
  <c r="F39" i="27"/>
  <c r="G39" i="27" s="1"/>
  <c r="C22" i="24"/>
  <c r="C42" i="24" s="1"/>
  <c r="G123" i="3"/>
  <c r="E47" i="27"/>
  <c r="E49" i="27"/>
  <c r="E54" i="27" s="1"/>
  <c r="E58" i="27" l="1"/>
  <c r="E63" i="27" s="1"/>
  <c r="E57" i="27"/>
  <c r="G57" i="27" s="1"/>
  <c r="N24" i="24"/>
  <c r="I127" i="3"/>
  <c r="F49" i="27"/>
  <c r="F54" i="27" s="1"/>
  <c r="F47" i="27"/>
  <c r="G19" i="27"/>
  <c r="G138" i="3"/>
  <c r="C4" i="23" s="1"/>
  <c r="H22" i="27"/>
  <c r="G129" i="3"/>
  <c r="G125" i="3"/>
  <c r="I5" i="19"/>
  <c r="D29" i="27"/>
  <c r="G29" i="27" s="1"/>
  <c r="G27" i="27"/>
  <c r="D31" i="27"/>
  <c r="D36" i="27" l="1"/>
  <c r="G31" i="27"/>
  <c r="N26" i="24"/>
  <c r="K127" i="3"/>
  <c r="C23" i="24"/>
  <c r="C43" i="24" s="1"/>
  <c r="H123" i="3"/>
  <c r="H26" i="27"/>
  <c r="G23" i="27"/>
  <c r="F58" i="27"/>
  <c r="F63" i="27" s="1"/>
  <c r="F56" i="27"/>
  <c r="E65" i="27"/>
  <c r="E67" i="27"/>
  <c r="E72" i="27" s="1"/>
  <c r="H27" i="27" l="1"/>
  <c r="I27" i="27" s="1"/>
  <c r="I31" i="27" s="1"/>
  <c r="H31" i="27" s="1"/>
  <c r="I26" i="27"/>
  <c r="I6" i="19"/>
  <c r="H129" i="3"/>
  <c r="H125" i="3"/>
  <c r="F65" i="27"/>
  <c r="F67" i="27"/>
  <c r="F72" i="27" s="1"/>
  <c r="G28" i="27"/>
  <c r="H138" i="3"/>
  <c r="C5" i="23" s="1"/>
  <c r="E76" i="27"/>
  <c r="E81" i="27" s="1"/>
  <c r="E74" i="27"/>
  <c r="G36" i="27"/>
  <c r="D40" i="27"/>
  <c r="D38" i="27"/>
  <c r="G38" i="27" s="1"/>
  <c r="I123" i="3" l="1"/>
  <c r="C24" i="24"/>
  <c r="C44" i="24" s="1"/>
  <c r="E83" i="27"/>
  <c r="E85" i="27"/>
  <c r="E90" i="27" s="1"/>
  <c r="F74" i="27"/>
  <c r="F76" i="27"/>
  <c r="F81" i="27" s="1"/>
  <c r="D45" i="27"/>
  <c r="G40" i="27"/>
  <c r="G32" i="27"/>
  <c r="H35" i="27"/>
  <c r="G37" i="27" l="1"/>
  <c r="I138" i="3"/>
  <c r="C6" i="23" s="1"/>
  <c r="D47" i="27"/>
  <c r="G47" i="27" s="1"/>
  <c r="D49" i="27"/>
  <c r="G45" i="27"/>
  <c r="F83" i="27"/>
  <c r="F85" i="27"/>
  <c r="F90" i="27" s="1"/>
  <c r="E94" i="27"/>
  <c r="E99" i="27" s="1"/>
  <c r="E93" i="27"/>
  <c r="G93" i="27" s="1"/>
  <c r="H36" i="27"/>
  <c r="I36" i="27" s="1"/>
  <c r="I40" i="27" s="1"/>
  <c r="H40" i="27" s="1"/>
  <c r="I35" i="27"/>
  <c r="I7" i="19"/>
  <c r="I19" i="19" s="1"/>
  <c r="I125" i="3"/>
  <c r="I129" i="3"/>
  <c r="E101" i="27" l="1"/>
  <c r="E103" i="27"/>
  <c r="E108" i="27" s="1"/>
  <c r="G49" i="27"/>
  <c r="D54" i="27"/>
  <c r="F92" i="27"/>
  <c r="F94" i="27"/>
  <c r="F99" i="27" s="1"/>
  <c r="C25" i="24"/>
  <c r="C45" i="24" s="1"/>
  <c r="J123" i="3"/>
  <c r="G41" i="27"/>
  <c r="H44" i="27"/>
  <c r="O127" i="3"/>
  <c r="R127" i="3" s="1"/>
  <c r="N30" i="24"/>
  <c r="J138" i="3" l="1"/>
  <c r="C7" i="23" s="1"/>
  <c r="G46" i="27"/>
  <c r="J129" i="3"/>
  <c r="I8" i="19"/>
  <c r="J125" i="3"/>
  <c r="D56" i="27"/>
  <c r="G56" i="27" s="1"/>
  <c r="D58" i="27"/>
  <c r="G54" i="27"/>
  <c r="I44" i="27"/>
  <c r="H45" i="27"/>
  <c r="I45" i="27" s="1"/>
  <c r="I49" i="27" s="1"/>
  <c r="H49" i="27" s="1"/>
  <c r="E110" i="27"/>
  <c r="E112" i="27"/>
  <c r="F103" i="27"/>
  <c r="F108" i="27" s="1"/>
  <c r="F101" i="27"/>
  <c r="G50" i="27" l="1"/>
  <c r="H53" i="27"/>
  <c r="C26" i="24"/>
  <c r="C46" i="24" s="1"/>
  <c r="K123" i="3"/>
  <c r="D63" i="27"/>
  <c r="G58" i="27"/>
  <c r="F110" i="27"/>
  <c r="F112" i="27"/>
  <c r="K129" i="3" l="1"/>
  <c r="I9" i="19"/>
  <c r="K125" i="3"/>
  <c r="G55" i="27"/>
  <c r="K138" i="3"/>
  <c r="C8" i="23" s="1"/>
  <c r="H54" i="27"/>
  <c r="I54" i="27" s="1"/>
  <c r="I58" i="27" s="1"/>
  <c r="H58" i="27" s="1"/>
  <c r="I53" i="27"/>
  <c r="D65" i="27"/>
  <c r="G65" i="27" s="1"/>
  <c r="D67" i="27"/>
  <c r="G63" i="27"/>
  <c r="H62" i="27" l="1"/>
  <c r="G59" i="27"/>
  <c r="G67" i="27"/>
  <c r="D72" i="27"/>
  <c r="L123" i="3"/>
  <c r="C27" i="24"/>
  <c r="C47" i="24" s="1"/>
  <c r="G72" i="27" l="1"/>
  <c r="D76" i="27"/>
  <c r="D74" i="27"/>
  <c r="G74" i="27" s="1"/>
  <c r="G64" i="27"/>
  <c r="L138" i="3"/>
  <c r="C9" i="23" s="1"/>
  <c r="I10" i="19"/>
  <c r="L129" i="3"/>
  <c r="L125" i="3"/>
  <c r="H63" i="27"/>
  <c r="I63" i="27" s="1"/>
  <c r="I67" i="27" s="1"/>
  <c r="H67" i="27" s="1"/>
  <c r="I62" i="27"/>
  <c r="M123" i="3" l="1"/>
  <c r="C28" i="24"/>
  <c r="C48" i="24" s="1"/>
  <c r="G76" i="27"/>
  <c r="D81" i="27"/>
  <c r="H71" i="27"/>
  <c r="G68" i="27"/>
  <c r="D83" i="27" l="1"/>
  <c r="G83" i="27" s="1"/>
  <c r="D85" i="27"/>
  <c r="G81" i="27"/>
  <c r="G73" i="27"/>
  <c r="M138" i="3"/>
  <c r="C10" i="23" s="1"/>
  <c r="I71" i="27"/>
  <c r="H72" i="27"/>
  <c r="I72" i="27" s="1"/>
  <c r="I76" i="27" s="1"/>
  <c r="H76" i="27" s="1"/>
  <c r="I11" i="19"/>
  <c r="M129" i="3"/>
  <c r="M125" i="3"/>
  <c r="G77" i="27" l="1"/>
  <c r="H80" i="27"/>
  <c r="D90" i="27"/>
  <c r="G85" i="27"/>
  <c r="C29" i="24"/>
  <c r="C49" i="24" s="1"/>
  <c r="N123" i="3"/>
  <c r="D92" i="27" l="1"/>
  <c r="G92" i="27" s="1"/>
  <c r="D94" i="27"/>
  <c r="G90" i="27"/>
  <c r="N125" i="3"/>
  <c r="N129" i="3"/>
  <c r="I12" i="19"/>
  <c r="H81" i="27"/>
  <c r="I81" i="27" s="1"/>
  <c r="I85" i="27" s="1"/>
  <c r="H85" i="27" s="1"/>
  <c r="I80" i="27"/>
  <c r="N138" i="3"/>
  <c r="C11" i="23" s="1"/>
  <c r="G82" i="27"/>
  <c r="G94" i="27" l="1"/>
  <c r="D99" i="27"/>
  <c r="G86" i="27"/>
  <c r="H89" i="27"/>
  <c r="O123" i="3"/>
  <c r="C30" i="24"/>
  <c r="C50" i="24" s="1"/>
  <c r="H90" i="27" l="1"/>
  <c r="I90" i="27" s="1"/>
  <c r="I94" i="27" s="1"/>
  <c r="H94" i="27" s="1"/>
  <c r="I89" i="27"/>
  <c r="G99" i="27"/>
  <c r="D103" i="27"/>
  <c r="D101" i="27"/>
  <c r="G101" i="27" s="1"/>
  <c r="O125" i="3"/>
  <c r="I13" i="19"/>
  <c r="O129" i="3"/>
  <c r="G91" i="27"/>
  <c r="O138" i="3"/>
  <c r="C12" i="23" s="1"/>
  <c r="G103" i="27" l="1"/>
  <c r="D108" i="27"/>
  <c r="P123" i="3"/>
  <c r="C31" i="24"/>
  <c r="C51" i="24" s="1"/>
  <c r="G95" i="27"/>
  <c r="H98" i="27"/>
  <c r="I98" i="27" l="1"/>
  <c r="H99" i="27"/>
  <c r="I99" i="27" s="1"/>
  <c r="I103" i="27" s="1"/>
  <c r="H103" i="27" s="1"/>
  <c r="D112" i="27"/>
  <c r="G112" i="27" s="1"/>
  <c r="D110" i="27"/>
  <c r="G110" i="27" s="1"/>
  <c r="G108" i="27"/>
  <c r="P138" i="3"/>
  <c r="C13" i="23" s="1"/>
  <c r="G100" i="27"/>
  <c r="I14" i="19"/>
  <c r="P125" i="3"/>
  <c r="P129" i="3"/>
  <c r="C32" i="24" l="1"/>
  <c r="C52" i="24" s="1"/>
  <c r="Q123" i="3"/>
  <c r="G109" i="27"/>
  <c r="Q138" i="3"/>
  <c r="C14" i="23" s="1"/>
  <c r="R138" i="3"/>
  <c r="G104" i="27"/>
  <c r="H107" i="27"/>
  <c r="H108" i="27" l="1"/>
  <c r="I108" i="27" s="1"/>
  <c r="I112" i="27" s="1"/>
  <c r="H112" i="27" s="1"/>
  <c r="G113" i="27" s="1"/>
  <c r="I107" i="27"/>
  <c r="Q125" i="3"/>
  <c r="Q129" i="3"/>
  <c r="I15" i="19"/>
  <c r="I16" i="19" s="1"/>
  <c r="R123" i="3"/>
  <c r="R125" i="3" l="1"/>
  <c r="R129" i="3"/>
</calcChain>
</file>

<file path=xl/sharedStrings.xml><?xml version="1.0" encoding="utf-8"?>
<sst xmlns="http://schemas.openxmlformats.org/spreadsheetml/2006/main" count="1542" uniqueCount="216">
  <si>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</si>
  <si>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</si>
  <si>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</si>
  <si>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</si>
  <si>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</si>
  <si>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</si>
  <si>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</si>
  <si>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</si>
  <si>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</si>
  <si>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</si>
  <si>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</si>
  <si>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</si>
  <si>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Salário</t>
  </si>
  <si>
    <t>Bônus</t>
  </si>
  <si>
    <t>Aluguel</t>
  </si>
  <si>
    <t>Pensão</t>
  </si>
  <si>
    <t>Hora Extra</t>
  </si>
  <si>
    <t>Total</t>
  </si>
  <si>
    <t>Luz</t>
  </si>
  <si>
    <t>Gás</t>
  </si>
  <si>
    <t>Internet</t>
  </si>
  <si>
    <t>Condomínio</t>
  </si>
  <si>
    <t>Habitação</t>
  </si>
  <si>
    <t>Transporte</t>
  </si>
  <si>
    <t>Água</t>
  </si>
  <si>
    <t>Alimentação</t>
  </si>
  <si>
    <t>Almoço</t>
  </si>
  <si>
    <t>Janta</t>
  </si>
  <si>
    <t>Supermercado</t>
  </si>
  <si>
    <t>Lanches</t>
  </si>
  <si>
    <t>Café da manhã</t>
  </si>
  <si>
    <t>Manuntenção Carro</t>
  </si>
  <si>
    <t>Gasolina</t>
  </si>
  <si>
    <t>Bicicleta</t>
  </si>
  <si>
    <t>Conserto</t>
  </si>
  <si>
    <t>Aparelho novo</t>
  </si>
  <si>
    <t>Aparelhos pessoais</t>
  </si>
  <si>
    <t>Serviço App</t>
  </si>
  <si>
    <t>Estacionamento</t>
  </si>
  <si>
    <t>Saúde</t>
  </si>
  <si>
    <t>Medicamentos</t>
  </si>
  <si>
    <t>Médico</t>
  </si>
  <si>
    <t>Telefone</t>
  </si>
  <si>
    <t>Prestação do carro</t>
  </si>
  <si>
    <t>Seguro do carro</t>
  </si>
  <si>
    <t>Educação</t>
  </si>
  <si>
    <t>Colégio</t>
  </si>
  <si>
    <t>Faculdade</t>
  </si>
  <si>
    <t>Curso</t>
  </si>
  <si>
    <t>Impostos</t>
  </si>
  <si>
    <t>IPTU</t>
  </si>
  <si>
    <t>IPVA</t>
  </si>
  <si>
    <t>Outros</t>
  </si>
  <si>
    <t>Seguro de vida</t>
  </si>
  <si>
    <t>Metrô</t>
  </si>
  <si>
    <t>Ônibus</t>
  </si>
  <si>
    <t>Doação</t>
  </si>
  <si>
    <t>Destino/Dias</t>
  </si>
  <si>
    <t>Lazer</t>
  </si>
  <si>
    <t>Clube</t>
  </si>
  <si>
    <t>Hotel</t>
  </si>
  <si>
    <t>Bar</t>
  </si>
  <si>
    <t>Festas</t>
  </si>
  <si>
    <t>Celular</t>
  </si>
  <si>
    <t>Notebook</t>
  </si>
  <si>
    <t>Vestuário</t>
  </si>
  <si>
    <t>Roupas</t>
  </si>
  <si>
    <t>Tênis</t>
  </si>
  <si>
    <t>Acessórios</t>
  </si>
  <si>
    <t>Relógio</t>
  </si>
  <si>
    <t>Pulseira</t>
  </si>
  <si>
    <t>Cordão</t>
  </si>
  <si>
    <t xml:space="preserve">Outros </t>
  </si>
  <si>
    <t>Presentes</t>
  </si>
  <si>
    <t>Origem/Mês</t>
  </si>
  <si>
    <t>Pedágio</t>
  </si>
  <si>
    <t>Assinatura Música</t>
  </si>
  <si>
    <t>Assinatura Serviço</t>
  </si>
  <si>
    <t>Material</t>
  </si>
  <si>
    <t>Livros</t>
  </si>
  <si>
    <t>Assinatura Livro</t>
  </si>
  <si>
    <t>Serviço App Bicicleta</t>
  </si>
  <si>
    <t>Aportes</t>
  </si>
  <si>
    <t>Ganhos</t>
  </si>
  <si>
    <t>Despesas fixas</t>
  </si>
  <si>
    <t>Despesas variáveis</t>
  </si>
  <si>
    <t>Feira</t>
  </si>
  <si>
    <t>Padaria</t>
  </si>
  <si>
    <t>Produtos de beleza</t>
  </si>
  <si>
    <t>Esteticista</t>
  </si>
  <si>
    <t>Saldo Total</t>
  </si>
  <si>
    <t>Cinema/Teatro</t>
  </si>
  <si>
    <t>Ano</t>
  </si>
  <si>
    <t>Total Variável</t>
  </si>
  <si>
    <t>Total Habitação</t>
  </si>
  <si>
    <t>Total Transporte</t>
  </si>
  <si>
    <t>Total Saúde</t>
  </si>
  <si>
    <t>Total Educação</t>
  </si>
  <si>
    <t>Total Lazer</t>
  </si>
  <si>
    <t>Total Impostos</t>
  </si>
  <si>
    <t>Total Outros</t>
  </si>
  <si>
    <t>Total Fixa</t>
  </si>
  <si>
    <t>Despesa</t>
  </si>
  <si>
    <t>Mês</t>
  </si>
  <si>
    <t>Total Despesa</t>
  </si>
  <si>
    <t>Tipos de despesa</t>
  </si>
  <si>
    <t>Aparelhos Pessoais</t>
  </si>
  <si>
    <t>Cuidados Estéticos</t>
  </si>
  <si>
    <t>IR</t>
  </si>
  <si>
    <t>Academia</t>
  </si>
  <si>
    <t>Viagem</t>
  </si>
  <si>
    <t>Meta</t>
  </si>
  <si>
    <t>% de Recebido sobre Meta</t>
  </si>
  <si>
    <t>% da Meta</t>
  </si>
  <si>
    <t>Meta da Receita</t>
  </si>
  <si>
    <t>Total Alimentação</t>
  </si>
  <si>
    <t>Total Despesas</t>
  </si>
  <si>
    <t>Perdas</t>
  </si>
  <si>
    <t>Saldo Ganhos e Perdas</t>
  </si>
  <si>
    <t>Receita Recebida sem Ganhos de Investimento</t>
  </si>
  <si>
    <t>Receita</t>
  </si>
  <si>
    <t>Total Aparelhos Pessoais</t>
  </si>
  <si>
    <t>Total Vestuário</t>
  </si>
  <si>
    <t>Total Acessórios</t>
  </si>
  <si>
    <t>Total Cuidados Estéticos</t>
  </si>
  <si>
    <t>% da Receita Recebida com Ganhos</t>
  </si>
  <si>
    <t xml:space="preserve">Despesas Variáveis </t>
  </si>
  <si>
    <t>Despesas Variáveis</t>
  </si>
  <si>
    <t>Suplementos</t>
  </si>
  <si>
    <t>Plano de Saúde</t>
  </si>
  <si>
    <t>Prestação da Casa</t>
  </si>
  <si>
    <t>Seguro da Casa</t>
  </si>
  <si>
    <t>Ajudantes</t>
  </si>
  <si>
    <t>Despesas Fixas</t>
  </si>
  <si>
    <t>Seguro Saúde</t>
  </si>
  <si>
    <t>Assinatura Netflix/PV</t>
  </si>
  <si>
    <t>Assinatura iCloud</t>
  </si>
  <si>
    <t xml:space="preserve">Receita                                      </t>
  </si>
  <si>
    <t>Receita Recebida Sem Ganhos de Investimento</t>
  </si>
  <si>
    <t>Patrimônio Inicial</t>
  </si>
  <si>
    <t>Aporte Jan</t>
  </si>
  <si>
    <t>Aporte Abr</t>
  </si>
  <si>
    <t>Aporte Jul</t>
  </si>
  <si>
    <t>Aporte Out</t>
  </si>
  <si>
    <t>Alocação Inicial:</t>
  </si>
  <si>
    <t>Renda Fixa</t>
  </si>
  <si>
    <t>FII's</t>
  </si>
  <si>
    <t>Bolsa</t>
  </si>
  <si>
    <t>Aporte Fev</t>
  </si>
  <si>
    <t>Aporte Mai</t>
  </si>
  <si>
    <t>Aporte Ago</t>
  </si>
  <si>
    <t>Aporte Nov</t>
  </si>
  <si>
    <t>Aporte Mar</t>
  </si>
  <si>
    <t>Aporte Jun</t>
  </si>
  <si>
    <t>Aporte Set</t>
  </si>
  <si>
    <t>Aporte Dez</t>
  </si>
  <si>
    <t>Descrição</t>
  </si>
  <si>
    <t>Carteira</t>
  </si>
  <si>
    <t>Valor da Cota</t>
  </si>
  <si>
    <t>Qnt de Cotas</t>
  </si>
  <si>
    <t>01.Jan</t>
  </si>
  <si>
    <t>Aporte Mensal</t>
  </si>
  <si>
    <t>Valor Inicial do Mês</t>
  </si>
  <si>
    <t>Rentabilidade Mensal</t>
  </si>
  <si>
    <t>Valor Final do Mês</t>
  </si>
  <si>
    <t>Rentabilidade Acumulada</t>
  </si>
  <si>
    <t>02.Fev</t>
  </si>
  <si>
    <t>03.Mar</t>
  </si>
  <si>
    <t>04.Abr</t>
  </si>
  <si>
    <t>05.Mai</t>
  </si>
  <si>
    <t>06.Jun</t>
  </si>
  <si>
    <t>07.Jul</t>
  </si>
  <si>
    <t>08.Ago</t>
  </si>
  <si>
    <t>09.Set</t>
  </si>
  <si>
    <t>10.Out</t>
  </si>
  <si>
    <t>11.Nov</t>
  </si>
  <si>
    <t>12.Dez</t>
  </si>
  <si>
    <t>Salário Estágio</t>
  </si>
  <si>
    <t>Valor</t>
  </si>
  <si>
    <t>Aporte</t>
  </si>
  <si>
    <t>Porcentagem Média Anual</t>
  </si>
  <si>
    <t>Ganhos Mensais</t>
  </si>
  <si>
    <t>Perdas Mensais</t>
  </si>
  <si>
    <t>Metas</t>
  </si>
  <si>
    <t>Saldo Ganhos e Perdas Mensais</t>
  </si>
  <si>
    <t>Despesa Fixa (Planilha)</t>
  </si>
  <si>
    <t>Variável            (Planilha)</t>
  </si>
  <si>
    <t>Investimentos                 (Planilha)</t>
  </si>
  <si>
    <t>% da Receita Gasto com Habitação</t>
  </si>
  <si>
    <t>% da Receita Gasto com Alimentação</t>
  </si>
  <si>
    <t>% da Receita Gasto com Transporte</t>
  </si>
  <si>
    <t>% da Receita Gasto com Saúde</t>
  </si>
  <si>
    <t>% da Receita Gasto com Educação</t>
  </si>
  <si>
    <t>% da Receita Gasto com Lazer</t>
  </si>
  <si>
    <t>% da Receita Gasto com Impostos</t>
  </si>
  <si>
    <t>% da Receita Gasto com Outros</t>
  </si>
  <si>
    <t>% da Receita Gasto com Despesas Fixas</t>
  </si>
  <si>
    <t>% da Receita Gasto com Aparelhos Pessoais</t>
  </si>
  <si>
    <t>% da Receita Gasto com Vestuário</t>
  </si>
  <si>
    <t>% da Receita Gasto com Acessórios</t>
  </si>
  <si>
    <t>% da Receita Gasto com Cuidados Estéticos</t>
  </si>
  <si>
    <t>% da Receita Gasto com Despesas Variáveis</t>
  </si>
  <si>
    <t>% da Receita Investido</t>
  </si>
  <si>
    <t xml:space="preserve">Receita Recebida </t>
  </si>
  <si>
    <r>
      <rPr>
        <b/>
        <sz val="18"/>
        <color theme="0"/>
        <rFont val="Calibri"/>
        <family val="2"/>
        <scheme val="minor"/>
      </rPr>
      <t>Resultado</t>
    </r>
    <r>
      <rPr>
        <b/>
        <sz val="16"/>
        <color theme="0"/>
        <rFont val="Calibri"/>
        <family val="2"/>
        <scheme val="minor"/>
      </rPr>
      <t xml:space="preserve">                             </t>
    </r>
    <r>
      <rPr>
        <b/>
        <sz val="14"/>
        <color theme="0"/>
        <rFont val="Calibri"/>
        <family val="2"/>
        <scheme val="minor"/>
      </rPr>
      <t>(Gráficos)</t>
    </r>
  </si>
  <si>
    <t>Valor Investido por Mês</t>
  </si>
  <si>
    <t>% Investido da Receita</t>
  </si>
  <si>
    <t>Meta de Investimento Mensal</t>
  </si>
  <si>
    <t>% da Meta do Investimento por Mês da Receita</t>
  </si>
  <si>
    <t>Linha</t>
  </si>
  <si>
    <t>Startup</t>
  </si>
  <si>
    <t>Freelancer</t>
  </si>
  <si>
    <t>São Células para colocar DADOS de acordo com SEUS OBJETIVOS</t>
  </si>
  <si>
    <t>Apps</t>
  </si>
  <si>
    <t>Divisão Aporte no Mês</t>
  </si>
  <si>
    <t>Total Aportado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</si>
</sst>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* #,##0.00_-;\-&quot;R$&quot;* #,##0.00_-;_-&quot;R$&quot;* &quot;-&quot;??_-;_-@_-"/>
    <numFmt numFmtId="164" formatCode="_-&quot;R$&quot;\ * #,##0.00_-;\-&quot;R$&quot;\ * #,##0.00_-;_-&quot;R$&quot;\ * &quot;-&quot;??_-;_-@_-"/>
    <numFmt numFmtId="165" formatCode="&quot;R$ &quot;#,##0.00"/>
    <numFmt numFmtId="166" formatCode="&quot;R$&quot;\ #,##0.00"/>
    <numFmt numFmtId="167" formatCode="_-[$R$-416]\ * #,##0.00_-;\-[$R$-416]\ * #,##0.00_-;_-[$R$-416]\ * &quot;-&quot;??_-;_-@_-"/>
    <numFmt numFmtId="168" formatCode="0.000%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Myriad Pro"/>
    </font>
    <font>
      <sz val="10"/>
      <name val="Myriad Pro"/>
    </font>
    <font>
      <b/>
      <sz val="10"/>
      <color theme="0"/>
      <name val="Myriad Pro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5" tint="-0.249977111117893"/>
      <name val="Myriad Pro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 tint="4.9989318521683403E-2"/>
      <name val="Calibri"/>
      <family val="2"/>
      <scheme val="minor"/>
    </font>
    <font>
      <b/>
      <sz val="18"/>
      <color theme="1" tint="4.9989318521683403E-2"/>
      <name val="Calibri"/>
      <family val="2"/>
      <scheme val="minor"/>
    </font>
    <font>
      <sz val="10"/>
      <color rgb="FF686868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C080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6B6B2"/>
        <bgColor indexed="64"/>
      </patternFill>
    </fill>
    <fill>
      <patternFill patternType="solid">
        <fgColor rgb="FFC334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2" tint="-0.499984740745262"/>
      </bottom>
      <diagonal/>
    </border>
    <border>
      <left/>
      <right style="thin">
        <color indexed="64"/>
      </right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4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/>
    <xf numFmtId="166" fontId="0" fillId="0" borderId="0" xfId="0" applyNumberFormat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4" fontId="0" fillId="0" borderId="1" xfId="0" applyNumberFormat="1" applyBorder="1"/>
    <xf numFmtId="164" fontId="0" fillId="0" borderId="0" xfId="0" applyNumberFormat="1"/>
    <xf numFmtId="0" fontId="0" fillId="0" borderId="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64" fontId="0" fillId="0" borderId="25" xfId="0" applyNumberFormat="1" applyBorder="1"/>
    <xf numFmtId="166" fontId="3" fillId="0" borderId="1" xfId="0" applyNumberFormat="1" applyFont="1" applyBorder="1" applyAlignment="1">
      <alignment horizontal="center"/>
    </xf>
    <xf numFmtId="166" fontId="2" fillId="2" borderId="2" xfId="0" applyNumberFormat="1" applyFont="1" applyFill="1" applyBorder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166" fontId="2" fillId="2" borderId="1" xfId="0" applyNumberFormat="1" applyFont="1" applyFill="1" applyBorder="1" applyAlignment="1">
      <alignment horizontal="center"/>
    </xf>
    <xf numFmtId="0" fontId="3" fillId="0" borderId="0" xfId="0" applyFont="1"/>
    <xf numFmtId="166" fontId="3" fillId="7" borderId="6" xfId="0" applyNumberFormat="1" applyFont="1" applyFill="1" applyBorder="1" applyAlignment="1">
      <alignment horizontal="center"/>
    </xf>
    <xf numFmtId="166" fontId="3" fillId="7" borderId="4" xfId="0" applyNumberFormat="1" applyFont="1" applyFill="1" applyBorder="1" applyAlignment="1">
      <alignment horizontal="center"/>
    </xf>
    <xf numFmtId="166" fontId="3" fillId="7" borderId="17" xfId="0" applyNumberFormat="1" applyFont="1" applyFill="1" applyBorder="1" applyAlignment="1">
      <alignment horizontal="center"/>
    </xf>
    <xf numFmtId="166" fontId="3" fillId="7" borderId="1" xfId="0" applyNumberFormat="1" applyFont="1" applyFill="1" applyBorder="1" applyAlignment="1">
      <alignment horizontal="center"/>
    </xf>
    <xf numFmtId="166" fontId="8" fillId="7" borderId="7" xfId="0" applyNumberFormat="1" applyFont="1" applyFill="1" applyBorder="1" applyAlignment="1">
      <alignment horizontal="center"/>
    </xf>
    <xf numFmtId="166" fontId="8" fillId="7" borderId="4" xfId="0" applyNumberFormat="1" applyFont="1" applyFill="1" applyBorder="1" applyAlignment="1">
      <alignment horizontal="center"/>
    </xf>
    <xf numFmtId="166" fontId="8" fillId="7" borderId="6" xfId="0" applyNumberFormat="1" applyFont="1" applyFill="1" applyBorder="1" applyAlignment="1">
      <alignment horizontal="center"/>
    </xf>
    <xf numFmtId="0" fontId="3" fillId="0" borderId="0" xfId="0" applyFont="1" applyBorder="1"/>
    <xf numFmtId="164" fontId="3" fillId="0" borderId="26" xfId="0" applyNumberFormat="1" applyFont="1" applyBorder="1"/>
    <xf numFmtId="164" fontId="3" fillId="0" borderId="27" xfId="0" applyNumberFormat="1" applyFont="1" applyBorder="1"/>
    <xf numFmtId="0" fontId="2" fillId="2" borderId="31" xfId="0" applyFont="1" applyFill="1" applyBorder="1" applyAlignment="1">
      <alignment horizontal="center"/>
    </xf>
    <xf numFmtId="166" fontId="2" fillId="2" borderId="0" xfId="0" applyNumberFormat="1" applyFont="1" applyFill="1" applyAlignment="1">
      <alignment horizontal="center"/>
    </xf>
    <xf numFmtId="164" fontId="8" fillId="7" borderId="2" xfId="0" applyNumberFormat="1" applyFont="1" applyFill="1" applyBorder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left" indent="2"/>
    </xf>
    <xf numFmtId="164" fontId="0" fillId="0" borderId="0" xfId="0" applyNumberFormat="1" applyAlignment="1">
      <alignment horizontal="left" indent="3"/>
    </xf>
    <xf numFmtId="164" fontId="0" fillId="0" borderId="0" xfId="0" applyNumberFormat="1" applyAlignment="1">
      <alignment horizontal="left" indent="4"/>
    </xf>
    <xf numFmtId="164" fontId="0" fillId="0" borderId="0" xfId="0" applyNumberFormat="1" applyAlignment="1">
      <alignment horizontal="left" indent="5"/>
    </xf>
    <xf numFmtId="0" fontId="0" fillId="0" borderId="0" xfId="0" applyBorder="1" applyAlignment="1">
      <alignment horizontal="center" vertical="center"/>
    </xf>
    <xf numFmtId="0" fontId="0" fillId="3" borderId="0" xfId="0" applyFill="1"/>
    <xf numFmtId="0" fontId="4" fillId="3" borderId="0" xfId="0" applyFont="1" applyFill="1" applyBorder="1" applyAlignment="1">
      <alignment horizontal="center" vertical="center"/>
    </xf>
    <xf numFmtId="164" fontId="0" fillId="7" borderId="32" xfId="0" applyNumberFormat="1" applyFill="1" applyBorder="1"/>
    <xf numFmtId="0" fontId="0" fillId="3" borderId="0" xfId="0" applyFill="1" applyAlignment="1">
      <alignment vertical="center"/>
    </xf>
    <xf numFmtId="164" fontId="0" fillId="0" borderId="0" xfId="1" applyFont="1"/>
    <xf numFmtId="0" fontId="0" fillId="0" borderId="18" xfId="0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2" borderId="31" xfId="0" applyFont="1" applyFill="1" applyBorder="1" applyAlignment="1">
      <alignment horizontal="center" vertical="center"/>
    </xf>
    <xf numFmtId="164" fontId="3" fillId="0" borderId="26" xfId="0" applyNumberFormat="1" applyFont="1" applyBorder="1" applyAlignment="1">
      <alignment horizontal="center" vertical="center"/>
    </xf>
    <xf numFmtId="164" fontId="3" fillId="0" borderId="27" xfId="0" applyNumberFormat="1" applyFont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164" fontId="7" fillId="3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3" fillId="0" borderId="26" xfId="0" applyNumberFormat="1" applyFont="1" applyBorder="1" applyAlignment="1">
      <alignment horizontal="center" vertical="center"/>
    </xf>
    <xf numFmtId="166" fontId="3" fillId="0" borderId="27" xfId="0" applyNumberFormat="1" applyFont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164" fontId="5" fillId="3" borderId="0" xfId="0" applyNumberFormat="1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164" fontId="5" fillId="3" borderId="3" xfId="0" applyNumberFormat="1" applyFont="1" applyFill="1" applyBorder="1" applyAlignment="1">
      <alignment horizontal="center" vertical="center"/>
    </xf>
    <xf numFmtId="164" fontId="4" fillId="3" borderId="0" xfId="0" applyNumberFormat="1" applyFont="1" applyFill="1" applyBorder="1" applyAlignment="1">
      <alignment horizontal="center" vertical="center"/>
    </xf>
    <xf numFmtId="164" fontId="4" fillId="3" borderId="3" xfId="0" applyNumberFormat="1" applyFont="1" applyFill="1" applyBorder="1" applyAlignment="1">
      <alignment horizontal="center" vertical="center"/>
    </xf>
    <xf numFmtId="164" fontId="4" fillId="3" borderId="38" xfId="0" applyNumberFormat="1" applyFont="1" applyFill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164" fontId="3" fillId="0" borderId="34" xfId="0" applyNumberFormat="1" applyFont="1" applyBorder="1" applyAlignment="1">
      <alignment horizontal="center" vertical="center"/>
    </xf>
    <xf numFmtId="9" fontId="8" fillId="3" borderId="18" xfId="2" applyFont="1" applyFill="1" applyBorder="1" applyAlignment="1">
      <alignment horizontal="center" vertical="center"/>
    </xf>
    <xf numFmtId="9" fontId="8" fillId="3" borderId="3" xfId="2" applyFont="1" applyFill="1" applyBorder="1" applyAlignment="1">
      <alignment horizontal="center" vertical="center"/>
    </xf>
    <xf numFmtId="9" fontId="8" fillId="9" borderId="35" xfId="2" applyFont="1" applyFill="1" applyBorder="1" applyAlignment="1">
      <alignment horizontal="center" vertical="center"/>
    </xf>
    <xf numFmtId="164" fontId="5" fillId="3" borderId="18" xfId="0" applyNumberFormat="1" applyFont="1" applyFill="1" applyBorder="1" applyAlignment="1">
      <alignment horizontal="center" vertical="center"/>
    </xf>
    <xf numFmtId="9" fontId="8" fillId="3" borderId="0" xfId="2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164" fontId="6" fillId="3" borderId="3" xfId="1" applyNumberFormat="1" applyFont="1" applyFill="1" applyBorder="1" applyAlignment="1">
      <alignment horizontal="center" vertical="center"/>
    </xf>
    <xf numFmtId="164" fontId="10" fillId="3" borderId="3" xfId="1" applyNumberFormat="1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164" fontId="2" fillId="2" borderId="30" xfId="0" applyNumberFormat="1" applyFont="1" applyFill="1" applyBorder="1" applyAlignment="1">
      <alignment horizontal="center" vertical="center"/>
    </xf>
    <xf numFmtId="9" fontId="2" fillId="2" borderId="30" xfId="2" applyFont="1" applyFill="1" applyBorder="1" applyAlignment="1">
      <alignment horizontal="center" vertical="center"/>
    </xf>
    <xf numFmtId="164" fontId="2" fillId="2" borderId="30" xfId="1" applyFont="1" applyFill="1" applyBorder="1" applyAlignment="1">
      <alignment horizontal="center" vertical="center"/>
    </xf>
    <xf numFmtId="164" fontId="2" fillId="2" borderId="30" xfId="2" applyNumberFormat="1" applyFont="1" applyFill="1" applyBorder="1" applyAlignment="1">
      <alignment horizontal="center" vertical="center"/>
    </xf>
    <xf numFmtId="164" fontId="7" fillId="3" borderId="3" xfId="0" applyNumberFormat="1" applyFont="1" applyFill="1" applyBorder="1" applyAlignment="1">
      <alignment horizontal="center" vertical="center"/>
    </xf>
    <xf numFmtId="165" fontId="5" fillId="3" borderId="25" xfId="0" applyNumberFormat="1" applyFont="1" applyFill="1" applyBorder="1" applyAlignment="1">
      <alignment horizontal="center" vertical="center"/>
    </xf>
    <xf numFmtId="165" fontId="3" fillId="0" borderId="26" xfId="0" applyNumberFormat="1" applyFont="1" applyBorder="1" applyAlignment="1">
      <alignment horizontal="center" vertical="center"/>
    </xf>
    <xf numFmtId="165" fontId="5" fillId="3" borderId="1" xfId="0" applyNumberFormat="1" applyFont="1" applyFill="1" applyBorder="1" applyAlignment="1">
      <alignment horizontal="center" vertical="center"/>
    </xf>
    <xf numFmtId="165" fontId="3" fillId="0" borderId="27" xfId="0" applyNumberFormat="1" applyFont="1" applyBorder="1" applyAlignment="1">
      <alignment horizontal="center" vertical="center"/>
    </xf>
    <xf numFmtId="0" fontId="6" fillId="2" borderId="3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4" fontId="0" fillId="3" borderId="0" xfId="0" applyNumberFormat="1" applyFill="1"/>
    <xf numFmtId="164" fontId="11" fillId="2" borderId="30" xfId="1" applyFont="1" applyFill="1" applyBorder="1" applyAlignment="1">
      <alignment horizontal="center" vertical="center"/>
    </xf>
    <xf numFmtId="9" fontId="8" fillId="8" borderId="35" xfId="2" applyFont="1" applyFill="1" applyBorder="1" applyAlignment="1">
      <alignment horizontal="center" vertical="center"/>
    </xf>
    <xf numFmtId="164" fontId="8" fillId="8" borderId="27" xfId="1" applyFont="1" applyFill="1" applyBorder="1" applyAlignment="1">
      <alignment horizontal="center" vertical="center"/>
    </xf>
    <xf numFmtId="9" fontId="8" fillId="8" borderId="37" xfId="2" applyFont="1" applyFill="1" applyBorder="1" applyAlignment="1">
      <alignment horizontal="center" vertical="center"/>
    </xf>
    <xf numFmtId="164" fontId="8" fillId="14" borderId="1" xfId="0" applyNumberFormat="1" applyFont="1" applyFill="1" applyBorder="1" applyAlignment="1">
      <alignment horizontal="center" vertical="center"/>
    </xf>
    <xf numFmtId="164" fontId="3" fillId="14" borderId="27" xfId="0" applyNumberFormat="1" applyFont="1" applyFill="1" applyBorder="1" applyAlignment="1">
      <alignment horizontal="center" vertical="center"/>
    </xf>
    <xf numFmtId="9" fontId="8" fillId="14" borderId="4" xfId="2" applyFont="1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 vertical="center"/>
    </xf>
    <xf numFmtId="164" fontId="8" fillId="14" borderId="1" xfId="1" applyFont="1" applyFill="1" applyBorder="1" applyAlignment="1">
      <alignment horizontal="center" vertical="center"/>
    </xf>
    <xf numFmtId="164" fontId="8" fillId="14" borderId="2" xfId="0" applyNumberFormat="1" applyFont="1" applyFill="1" applyBorder="1" applyAlignment="1">
      <alignment horizontal="center" vertical="center"/>
    </xf>
    <xf numFmtId="164" fontId="3" fillId="14" borderId="32" xfId="0" applyNumberFormat="1" applyFont="1" applyFill="1" applyBorder="1" applyAlignment="1">
      <alignment horizontal="center" vertical="center"/>
    </xf>
    <xf numFmtId="9" fontId="8" fillId="15" borderId="28" xfId="2" applyFont="1" applyFill="1" applyBorder="1" applyAlignment="1">
      <alignment horizontal="center" vertical="center"/>
    </xf>
    <xf numFmtId="9" fontId="8" fillId="15" borderId="4" xfId="2" applyFont="1" applyFill="1" applyBorder="1" applyAlignment="1">
      <alignment horizontal="center" vertical="center"/>
    </xf>
    <xf numFmtId="164" fontId="8" fillId="15" borderId="27" xfId="1" applyFont="1" applyFill="1" applyBorder="1" applyAlignment="1">
      <alignment horizontal="center" vertical="center"/>
    </xf>
    <xf numFmtId="9" fontId="8" fillId="15" borderId="39" xfId="2" applyFont="1" applyFill="1" applyBorder="1" applyAlignment="1">
      <alignment horizontal="center" vertical="center"/>
    </xf>
    <xf numFmtId="9" fontId="8" fillId="15" borderId="1" xfId="2" applyFont="1" applyFill="1" applyBorder="1" applyAlignment="1">
      <alignment horizontal="center" vertical="center"/>
    </xf>
    <xf numFmtId="0" fontId="4" fillId="10" borderId="33" xfId="0" applyFont="1" applyFill="1" applyBorder="1" applyAlignment="1">
      <alignment horizontal="center" vertical="center"/>
    </xf>
    <xf numFmtId="164" fontId="8" fillId="10" borderId="1" xfId="0" applyNumberFormat="1" applyFont="1" applyFill="1" applyBorder="1" applyAlignment="1">
      <alignment horizontal="center" vertical="center"/>
    </xf>
    <xf numFmtId="164" fontId="8" fillId="10" borderId="27" xfId="0" applyNumberFormat="1" applyFont="1" applyFill="1" applyBorder="1" applyAlignment="1">
      <alignment horizontal="center" vertical="center"/>
    </xf>
    <xf numFmtId="9" fontId="8" fillId="10" borderId="35" xfId="2" applyFont="1" applyFill="1" applyBorder="1" applyAlignment="1">
      <alignment horizontal="center" vertical="center"/>
    </xf>
    <xf numFmtId="164" fontId="8" fillId="9" borderId="27" xfId="1" applyFont="1" applyFill="1" applyBorder="1" applyAlignment="1">
      <alignment horizontal="center" vertical="center"/>
    </xf>
    <xf numFmtId="9" fontId="8" fillId="9" borderId="37" xfId="2" applyFont="1" applyFill="1" applyBorder="1" applyAlignment="1">
      <alignment horizontal="center" vertical="center"/>
    </xf>
    <xf numFmtId="0" fontId="4" fillId="11" borderId="33" xfId="0" applyFont="1" applyFill="1" applyBorder="1" applyAlignment="1">
      <alignment horizontal="center" vertical="center"/>
    </xf>
    <xf numFmtId="164" fontId="8" fillId="11" borderId="1" xfId="0" applyNumberFormat="1" applyFont="1" applyFill="1" applyBorder="1" applyAlignment="1">
      <alignment horizontal="center" vertical="center"/>
    </xf>
    <xf numFmtId="9" fontId="8" fillId="11" borderId="35" xfId="2" applyFont="1" applyFill="1" applyBorder="1" applyAlignment="1">
      <alignment horizontal="center" vertical="center"/>
    </xf>
    <xf numFmtId="9" fontId="2" fillId="16" borderId="30" xfId="2" applyFont="1" applyFill="1" applyBorder="1" applyAlignment="1">
      <alignment horizontal="center" vertical="center"/>
    </xf>
    <xf numFmtId="10" fontId="8" fillId="15" borderId="28" xfId="2" applyNumberFormat="1" applyFont="1" applyFill="1" applyBorder="1" applyAlignment="1">
      <alignment horizontal="center" vertical="center"/>
    </xf>
    <xf numFmtId="10" fontId="8" fillId="15" borderId="29" xfId="2" applyNumberFormat="1" applyFont="1" applyFill="1" applyBorder="1" applyAlignment="1">
      <alignment horizontal="center" vertical="center"/>
    </xf>
    <xf numFmtId="10" fontId="4" fillId="14" borderId="1" xfId="2" applyNumberFormat="1" applyFont="1" applyFill="1" applyBorder="1" applyAlignment="1">
      <alignment horizontal="center" vertical="center"/>
    </xf>
    <xf numFmtId="10" fontId="4" fillId="14" borderId="27" xfId="2" applyNumberFormat="1" applyFont="1" applyFill="1" applyBorder="1" applyAlignment="1">
      <alignment horizontal="center" vertical="center"/>
    </xf>
    <xf numFmtId="10" fontId="4" fillId="11" borderId="1" xfId="2" applyNumberFormat="1" applyFont="1" applyFill="1" applyBorder="1" applyAlignment="1">
      <alignment horizontal="center" vertical="center"/>
    </xf>
    <xf numFmtId="10" fontId="4" fillId="11" borderId="27" xfId="2" applyNumberFormat="1" applyFont="1" applyFill="1" applyBorder="1" applyAlignment="1">
      <alignment horizontal="center" vertical="center"/>
    </xf>
    <xf numFmtId="10" fontId="8" fillId="9" borderId="28" xfId="2" applyNumberFormat="1" applyFont="1" applyFill="1" applyBorder="1" applyAlignment="1">
      <alignment horizontal="center" vertical="center"/>
    </xf>
    <xf numFmtId="10" fontId="8" fillId="9" borderId="29" xfId="2" applyNumberFormat="1" applyFont="1" applyFill="1" applyBorder="1" applyAlignment="1">
      <alignment horizontal="center" vertical="center"/>
    </xf>
    <xf numFmtId="10" fontId="4" fillId="10" borderId="1" xfId="2" applyNumberFormat="1" applyFont="1" applyFill="1" applyBorder="1" applyAlignment="1">
      <alignment horizontal="center" vertical="center"/>
    </xf>
    <xf numFmtId="10" fontId="8" fillId="8" borderId="28" xfId="2" applyNumberFormat="1" applyFont="1" applyFill="1" applyBorder="1" applyAlignment="1">
      <alignment horizontal="center" vertical="center"/>
    </xf>
    <xf numFmtId="10" fontId="6" fillId="2" borderId="30" xfId="2" applyNumberFormat="1" applyFont="1" applyFill="1" applyBorder="1" applyAlignment="1">
      <alignment horizontal="center" vertical="center"/>
    </xf>
    <xf numFmtId="10" fontId="2" fillId="2" borderId="30" xfId="2" applyNumberFormat="1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4" fillId="0" borderId="2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4" fillId="11" borderId="41" xfId="0" applyFont="1" applyFill="1" applyBorder="1" applyAlignment="1">
      <alignment horizontal="center" vertical="center"/>
    </xf>
    <xf numFmtId="164" fontId="8" fillId="11" borderId="42" xfId="0" applyNumberFormat="1" applyFont="1" applyFill="1" applyBorder="1" applyAlignment="1">
      <alignment horizontal="center" vertical="center"/>
    </xf>
    <xf numFmtId="0" fontId="6" fillId="12" borderId="36" xfId="0" applyFont="1" applyFill="1" applyBorder="1" applyAlignment="1">
      <alignment horizontal="center" vertical="center" wrapText="1"/>
    </xf>
    <xf numFmtId="164" fontId="8" fillId="14" borderId="25" xfId="0" applyNumberFormat="1" applyFont="1" applyFill="1" applyBorder="1" applyAlignment="1">
      <alignment horizontal="center" vertical="center"/>
    </xf>
    <xf numFmtId="164" fontId="3" fillId="14" borderId="26" xfId="0" applyNumberFormat="1" applyFont="1" applyFill="1" applyBorder="1" applyAlignment="1">
      <alignment horizontal="center" vertical="center"/>
    </xf>
    <xf numFmtId="0" fontId="4" fillId="14" borderId="24" xfId="0" applyFont="1" applyFill="1" applyBorder="1" applyAlignment="1">
      <alignment horizontal="center" vertical="center"/>
    </xf>
    <xf numFmtId="0" fontId="8" fillId="14" borderId="39" xfId="0" applyFont="1" applyFill="1" applyBorder="1" applyAlignment="1">
      <alignment horizontal="center" vertical="center"/>
    </xf>
    <xf numFmtId="164" fontId="8" fillId="14" borderId="28" xfId="0" applyNumberFormat="1" applyFont="1" applyFill="1" applyBorder="1" applyAlignment="1">
      <alignment horizontal="center" vertical="center"/>
    </xf>
    <xf numFmtId="164" fontId="8" fillId="14" borderId="29" xfId="0" applyNumberFormat="1" applyFont="1" applyFill="1" applyBorder="1" applyAlignment="1">
      <alignment horizontal="center" vertical="center"/>
    </xf>
    <xf numFmtId="164" fontId="3" fillId="14" borderId="29" xfId="0" applyNumberFormat="1" applyFont="1" applyFill="1" applyBorder="1" applyAlignment="1">
      <alignment horizontal="center" vertical="center"/>
    </xf>
    <xf numFmtId="0" fontId="4" fillId="14" borderId="39" xfId="0" applyFont="1" applyFill="1" applyBorder="1" applyAlignment="1">
      <alignment horizontal="center" vertical="center"/>
    </xf>
    <xf numFmtId="0" fontId="4" fillId="14" borderId="28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164" fontId="16" fillId="10" borderId="1" xfId="1" applyFont="1" applyFill="1" applyBorder="1" applyAlignment="1">
      <alignment horizontal="center" vertical="center"/>
    </xf>
    <xf numFmtId="0" fontId="3" fillId="0" borderId="0" xfId="0" applyNumberFormat="1" applyFont="1"/>
    <xf numFmtId="0" fontId="12" fillId="3" borderId="0" xfId="0" applyFont="1" applyFill="1" applyBorder="1" applyAlignment="1">
      <alignment vertical="center" wrapText="1"/>
    </xf>
    <xf numFmtId="0" fontId="0" fillId="3" borderId="0" xfId="0" applyFill="1" applyBorder="1"/>
    <xf numFmtId="0" fontId="7" fillId="3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14" borderId="24" xfId="0" applyFont="1" applyFill="1" applyBorder="1" applyAlignment="1">
      <alignment horizontal="center" vertical="center"/>
    </xf>
    <xf numFmtId="164" fontId="8" fillId="3" borderId="26" xfId="0" applyNumberFormat="1" applyFont="1" applyFill="1" applyBorder="1" applyAlignment="1">
      <alignment horizontal="center" vertical="center"/>
    </xf>
    <xf numFmtId="164" fontId="8" fillId="15" borderId="27" xfId="0" applyNumberFormat="1" applyFont="1" applyFill="1" applyBorder="1" applyAlignment="1">
      <alignment horizontal="center" vertical="center"/>
    </xf>
    <xf numFmtId="0" fontId="8" fillId="14" borderId="33" xfId="0" applyFont="1" applyFill="1" applyBorder="1" applyAlignment="1">
      <alignment horizontal="center" vertical="center"/>
    </xf>
    <xf numFmtId="0" fontId="8" fillId="15" borderId="35" xfId="0" applyFont="1" applyFill="1" applyBorder="1" applyAlignment="1">
      <alignment horizontal="center" vertical="center"/>
    </xf>
    <xf numFmtId="0" fontId="8" fillId="15" borderId="37" xfId="0" applyFont="1" applyFill="1" applyBorder="1" applyAlignment="1">
      <alignment horizontal="center" vertical="center"/>
    </xf>
    <xf numFmtId="0" fontId="4" fillId="14" borderId="25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9" fontId="2" fillId="2" borderId="40" xfId="2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8" fillId="14" borderId="9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164" fontId="8" fillId="3" borderId="0" xfId="1" applyFont="1" applyFill="1" applyBorder="1" applyAlignment="1">
      <alignment horizontal="center" vertical="center"/>
    </xf>
    <xf numFmtId="9" fontId="8" fillId="14" borderId="41" xfId="2" applyFont="1" applyFill="1" applyBorder="1" applyAlignment="1">
      <alignment horizontal="center" vertical="center"/>
    </xf>
    <xf numFmtId="0" fontId="6" fillId="3" borderId="0" xfId="0" applyFont="1" applyFill="1" applyBorder="1" applyAlignment="1">
      <alignment vertical="center" wrapText="1"/>
    </xf>
    <xf numFmtId="164" fontId="8" fillId="14" borderId="28" xfId="1" applyFont="1" applyFill="1" applyBorder="1" applyAlignment="1">
      <alignment horizontal="center" vertical="center"/>
    </xf>
    <xf numFmtId="0" fontId="0" fillId="21" borderId="45" xfId="0" applyFill="1" applyBorder="1"/>
    <xf numFmtId="0" fontId="0" fillId="10" borderId="46" xfId="0" applyFill="1" applyBorder="1"/>
    <xf numFmtId="164" fontId="0" fillId="19" borderId="46" xfId="1" applyFont="1" applyFill="1" applyBorder="1"/>
    <xf numFmtId="0" fontId="0" fillId="15" borderId="45" xfId="0" applyFill="1" applyBorder="1"/>
    <xf numFmtId="0" fontId="0" fillId="19" borderId="45" xfId="0" applyFill="1" applyBorder="1"/>
    <xf numFmtId="0" fontId="0" fillId="10" borderId="47" xfId="0" applyFill="1" applyBorder="1"/>
    <xf numFmtId="0" fontId="0" fillId="14" borderId="45" xfId="0" applyFill="1" applyBorder="1"/>
    <xf numFmtId="10" fontId="0" fillId="14" borderId="45" xfId="2" applyNumberFormat="1" applyFont="1" applyFill="1" applyBorder="1"/>
    <xf numFmtId="0" fontId="0" fillId="20" borderId="49" xfId="0" applyFill="1" applyBorder="1"/>
    <xf numFmtId="44" fontId="0" fillId="0" borderId="0" xfId="0" applyNumberFormat="1"/>
    <xf numFmtId="168" fontId="0" fillId="0" borderId="0" xfId="2" applyNumberFormat="1" applyFont="1"/>
    <xf numFmtId="0" fontId="4" fillId="0" borderId="20" xfId="0" applyFont="1" applyFill="1" applyBorder="1" applyAlignment="1">
      <alignment horizontal="center" vertical="center" wrapText="1"/>
    </xf>
    <xf numFmtId="0" fontId="0" fillId="0" borderId="0" xfId="0" applyFill="1" applyBorder="1"/>
    <xf numFmtId="4" fontId="0" fillId="0" borderId="0" xfId="0" applyNumberFormat="1" applyAlignment="1">
      <alignment horizontal="center" vertical="center"/>
    </xf>
    <xf numFmtId="164" fontId="0" fillId="0" borderId="0" xfId="1" applyFont="1" applyAlignment="1">
      <alignment horizontal="center" vertical="center"/>
    </xf>
    <xf numFmtId="0" fontId="0" fillId="14" borderId="1" xfId="0" applyFill="1" applyBorder="1"/>
    <xf numFmtId="0" fontId="0" fillId="20" borderId="50" xfId="0" applyFill="1" applyBorder="1"/>
    <xf numFmtId="0" fontId="0" fillId="20" borderId="51" xfId="0" applyFill="1" applyBorder="1"/>
    <xf numFmtId="0" fontId="0" fillId="20" borderId="52" xfId="0" applyFill="1" applyBorder="1"/>
    <xf numFmtId="10" fontId="0" fillId="20" borderId="53" xfId="2" applyNumberFormat="1" applyFont="1" applyFill="1" applyBorder="1" applyAlignment="1">
      <alignment horizontal="center" vertical="center"/>
    </xf>
    <xf numFmtId="164" fontId="0" fillId="20" borderId="48" xfId="1" applyFont="1" applyFill="1" applyBorder="1" applyAlignment="1">
      <alignment horizontal="center" vertical="center"/>
    </xf>
    <xf numFmtId="0" fontId="0" fillId="20" borderId="48" xfId="0" applyNumberFormat="1" applyFill="1" applyBorder="1" applyAlignment="1">
      <alignment horizontal="center" vertical="center"/>
    </xf>
    <xf numFmtId="44" fontId="0" fillId="14" borderId="1" xfId="0" applyNumberFormat="1" applyFill="1" applyBorder="1"/>
    <xf numFmtId="44" fontId="0" fillId="14" borderId="1" xfId="0" applyNumberFormat="1" applyFill="1" applyBorder="1" applyAlignment="1">
      <alignment horizontal="center" vertical="center"/>
    </xf>
    <xf numFmtId="0" fontId="0" fillId="14" borderId="1" xfId="0" applyNumberFormat="1" applyFill="1" applyBorder="1" applyAlignment="1">
      <alignment horizontal="center" vertical="center"/>
    </xf>
    <xf numFmtId="167" fontId="0" fillId="14" borderId="1" xfId="0" applyNumberFormat="1" applyFill="1" applyBorder="1"/>
    <xf numFmtId="167" fontId="0" fillId="14" borderId="1" xfId="0" applyNumberFormat="1" applyFill="1" applyBorder="1" applyAlignment="1">
      <alignment horizontal="center" vertical="center"/>
    </xf>
    <xf numFmtId="164" fontId="0" fillId="14" borderId="1" xfId="1" applyFont="1" applyFill="1" applyBorder="1" applyAlignment="1">
      <alignment horizontal="center" vertical="center"/>
    </xf>
    <xf numFmtId="168" fontId="0" fillId="14" borderId="1" xfId="2" applyNumberFormat="1" applyFont="1" applyFill="1" applyBorder="1" applyAlignment="1">
      <alignment horizontal="center" vertical="center"/>
    </xf>
    <xf numFmtId="4" fontId="0" fillId="20" borderId="48" xfId="0" applyNumberFormat="1" applyFill="1" applyBorder="1" applyAlignment="1">
      <alignment horizontal="center" vertical="center"/>
    </xf>
    <xf numFmtId="4" fontId="0" fillId="14" borderId="1" xfId="0" applyNumberFormat="1" applyFill="1" applyBorder="1" applyAlignment="1">
      <alignment horizontal="center" vertical="center"/>
    </xf>
    <xf numFmtId="4" fontId="0" fillId="14" borderId="1" xfId="1" applyNumberFormat="1" applyFont="1" applyFill="1" applyBorder="1" applyAlignment="1">
      <alignment horizontal="center" vertical="center"/>
    </xf>
    <xf numFmtId="0" fontId="0" fillId="3" borderId="1" xfId="0" applyFill="1" applyBorder="1"/>
    <xf numFmtId="164" fontId="0" fillId="3" borderId="1" xfId="1" applyFont="1" applyFill="1" applyBorder="1" applyAlignment="1">
      <alignment horizontal="center" vertical="center"/>
    </xf>
    <xf numFmtId="0" fontId="0" fillId="3" borderId="1" xfId="0" applyNumberFormat="1" applyFill="1" applyBorder="1" applyAlignment="1">
      <alignment horizontal="center" vertical="center"/>
    </xf>
    <xf numFmtId="4" fontId="0" fillId="3" borderId="1" xfId="0" applyNumberFormat="1" applyFill="1" applyBorder="1" applyAlignment="1">
      <alignment horizontal="center" vertical="center"/>
    </xf>
    <xf numFmtId="44" fontId="0" fillId="22" borderId="1" xfId="0" applyNumberFormat="1" applyFill="1" applyBorder="1" applyAlignment="1">
      <alignment horizontal="center" vertical="center"/>
    </xf>
    <xf numFmtId="0" fontId="0" fillId="14" borderId="55" xfId="0" applyFill="1" applyBorder="1"/>
    <xf numFmtId="0" fontId="0" fillId="3" borderId="55" xfId="0" applyFill="1" applyBorder="1"/>
    <xf numFmtId="0" fontId="0" fillId="17" borderId="36" xfId="0" applyFill="1" applyBorder="1"/>
    <xf numFmtId="0" fontId="0" fillId="7" borderId="36" xfId="0" applyFill="1" applyBorder="1"/>
    <xf numFmtId="0" fontId="0" fillId="19" borderId="36" xfId="0" applyFill="1" applyBorder="1"/>
    <xf numFmtId="0" fontId="0" fillId="22" borderId="36" xfId="0" applyFill="1" applyBorder="1"/>
    <xf numFmtId="0" fontId="0" fillId="21" borderId="1" xfId="0" applyFill="1" applyBorder="1"/>
    <xf numFmtId="164" fontId="0" fillId="21" borderId="1" xfId="1" applyFont="1" applyFill="1" applyBorder="1"/>
    <xf numFmtId="0" fontId="0" fillId="23" borderId="1" xfId="0" applyFill="1" applyBorder="1"/>
    <xf numFmtId="164" fontId="0" fillId="23" borderId="1" xfId="1" applyFont="1" applyFill="1" applyBorder="1"/>
    <xf numFmtId="164" fontId="0" fillId="23" borderId="1" xfId="1" applyFont="1" applyFill="1" applyBorder="1" applyAlignment="1">
      <alignment horizontal="center" vertical="center"/>
    </xf>
    <xf numFmtId="164" fontId="0" fillId="21" borderId="1" xfId="1" applyFont="1" applyFill="1" applyBorder="1" applyAlignment="1">
      <alignment horizontal="center" vertical="center"/>
    </xf>
    <xf numFmtId="164" fontId="8" fillId="24" borderId="42" xfId="1" applyFont="1" applyFill="1" applyBorder="1" applyAlignment="1">
      <alignment horizontal="center" vertical="center"/>
    </xf>
    <xf numFmtId="164" fontId="8" fillId="24" borderId="43" xfId="1" applyFont="1" applyFill="1" applyBorder="1" applyAlignment="1">
      <alignment horizontal="center" vertical="center"/>
    </xf>
    <xf numFmtId="164" fontId="3" fillId="14" borderId="26" xfId="0" applyNumberFormat="1" applyFont="1" applyFill="1" applyBorder="1" applyAlignment="1">
      <alignment vertical="center"/>
    </xf>
    <xf numFmtId="9" fontId="8" fillId="0" borderId="18" xfId="2" applyFont="1" applyFill="1" applyBorder="1" applyAlignment="1">
      <alignment horizontal="center" vertical="center"/>
    </xf>
    <xf numFmtId="10" fontId="8" fillId="0" borderId="2" xfId="2" applyNumberFormat="1" applyFont="1" applyFill="1" applyBorder="1" applyAlignment="1">
      <alignment horizontal="center" vertical="center"/>
    </xf>
    <xf numFmtId="10" fontId="8" fillId="0" borderId="56" xfId="2" applyNumberFormat="1" applyFont="1" applyFill="1" applyBorder="1" applyAlignment="1">
      <alignment horizontal="center" vertical="center"/>
    </xf>
    <xf numFmtId="0" fontId="0" fillId="0" borderId="0" xfId="0" applyFill="1"/>
    <xf numFmtId="9" fontId="8" fillId="0" borderId="2" xfId="2" applyFont="1" applyFill="1" applyBorder="1" applyAlignment="1">
      <alignment horizontal="center" vertical="center"/>
    </xf>
    <xf numFmtId="9" fontId="8" fillId="0" borderId="56" xfId="2" applyFont="1" applyFill="1" applyBorder="1" applyAlignment="1">
      <alignment horizontal="center" vertical="center"/>
    </xf>
    <xf numFmtId="165" fontId="6" fillId="2" borderId="57" xfId="0" applyNumberFormat="1" applyFont="1" applyFill="1" applyBorder="1" applyAlignment="1">
      <alignment horizontal="center" vertical="center"/>
    </xf>
    <xf numFmtId="164" fontId="11" fillId="2" borderId="59" xfId="1" applyFont="1" applyFill="1" applyBorder="1" applyAlignment="1">
      <alignment horizontal="center" vertical="center"/>
    </xf>
    <xf numFmtId="10" fontId="2" fillId="2" borderId="31" xfId="2" applyNumberFormat="1" applyFont="1" applyFill="1" applyBorder="1" applyAlignment="1">
      <alignment horizontal="center" vertical="center"/>
    </xf>
    <xf numFmtId="164" fontId="1" fillId="18" borderId="1" xfId="1" applyFont="1" applyFill="1" applyBorder="1" applyAlignment="1">
      <alignment horizontal="center" vertical="center"/>
    </xf>
    <xf numFmtId="9" fontId="2" fillId="8" borderId="30" xfId="2" applyFont="1" applyFill="1" applyBorder="1" applyAlignment="1">
      <alignment horizontal="center" vertical="center"/>
    </xf>
    <xf numFmtId="10" fontId="6" fillId="8" borderId="30" xfId="2" applyNumberFormat="1" applyFont="1" applyFill="1" applyBorder="1" applyAlignment="1">
      <alignment horizontal="center" vertical="center"/>
    </xf>
    <xf numFmtId="0" fontId="21" fillId="0" borderId="0" xfId="0" applyFont="1"/>
    <xf numFmtId="9" fontId="0" fillId="0" borderId="0" xfId="0" applyNumberFormat="1"/>
    <xf numFmtId="164" fontId="8" fillId="26" borderId="1" xfId="0" applyNumberFormat="1" applyFont="1" applyFill="1" applyBorder="1" applyAlignment="1">
      <alignment horizontal="center" vertical="center"/>
    </xf>
    <xf numFmtId="164" fontId="8" fillId="26" borderId="1" xfId="1" applyFont="1" applyFill="1" applyBorder="1" applyAlignment="1">
      <alignment horizontal="center" vertical="center"/>
    </xf>
    <xf numFmtId="164" fontId="2" fillId="26" borderId="30" xfId="1" applyFont="1" applyFill="1" applyBorder="1" applyAlignment="1">
      <alignment horizontal="center" vertical="center"/>
    </xf>
    <xf numFmtId="164" fontId="2" fillId="26" borderId="40" xfId="1" applyFont="1" applyFill="1" applyBorder="1" applyAlignment="1">
      <alignment horizontal="center" vertical="center"/>
    </xf>
    <xf numFmtId="0" fontId="0" fillId="26" borderId="0" xfId="0" applyFill="1"/>
    <xf numFmtId="164" fontId="2" fillId="2" borderId="44" xfId="1" applyFont="1" applyFill="1" applyBorder="1" applyAlignment="1">
      <alignment horizontal="center" vertical="center"/>
    </xf>
    <xf numFmtId="167" fontId="0" fillId="26" borderId="45" xfId="0" applyNumberFormat="1" applyFill="1" applyBorder="1" applyAlignment="1">
      <alignment horizontal="center" vertical="center"/>
    </xf>
    <xf numFmtId="9" fontId="0" fillId="26" borderId="55" xfId="2" applyFont="1" applyFill="1" applyBorder="1"/>
    <xf numFmtId="10" fontId="0" fillId="26" borderId="1" xfId="2" applyNumberFormat="1" applyFont="1" applyFill="1" applyBorder="1"/>
    <xf numFmtId="9" fontId="0" fillId="26" borderId="1" xfId="2" applyFont="1" applyFill="1" applyBorder="1"/>
    <xf numFmtId="164" fontId="0" fillId="26" borderId="25" xfId="0" applyNumberFormat="1" applyFill="1" applyBorder="1" applyAlignment="1">
      <alignment horizontal="center" vertical="center"/>
    </xf>
    <xf numFmtId="164" fontId="0" fillId="26" borderId="1" xfId="0" applyNumberFormat="1" applyFill="1" applyBorder="1" applyAlignment="1">
      <alignment horizontal="center" vertical="center"/>
    </xf>
    <xf numFmtId="0" fontId="0" fillId="26" borderId="24" xfId="0" applyFill="1" applyBorder="1" applyAlignment="1">
      <alignment horizontal="center" vertical="center"/>
    </xf>
    <xf numFmtId="0" fontId="0" fillId="26" borderId="4" xfId="0" applyFill="1" applyBorder="1" applyAlignment="1">
      <alignment horizontal="center" vertical="center"/>
    </xf>
    <xf numFmtId="0" fontId="0" fillId="26" borderId="0" xfId="0" applyFill="1" applyBorder="1" applyAlignment="1">
      <alignment horizontal="center" vertical="center"/>
    </xf>
    <xf numFmtId="0" fontId="7" fillId="26" borderId="24" xfId="0" applyFont="1" applyFill="1" applyBorder="1" applyAlignment="1">
      <alignment horizontal="center" vertical="center"/>
    </xf>
    <xf numFmtId="0" fontId="7" fillId="26" borderId="4" xfId="0" applyFont="1" applyFill="1" applyBorder="1" applyAlignment="1">
      <alignment horizontal="center" vertical="center"/>
    </xf>
    <xf numFmtId="166" fontId="0" fillId="26" borderId="24" xfId="0" applyNumberFormat="1" applyFill="1" applyBorder="1" applyAlignment="1">
      <alignment horizontal="center" vertical="center"/>
    </xf>
    <xf numFmtId="166" fontId="0" fillId="26" borderId="4" xfId="0" applyNumberFormat="1" applyFill="1" applyBorder="1" applyAlignment="1">
      <alignment horizontal="center" vertical="center"/>
    </xf>
    <xf numFmtId="0" fontId="5" fillId="26" borderId="24" xfId="0" applyFont="1" applyFill="1" applyBorder="1" applyAlignment="1">
      <alignment horizontal="center" vertical="center"/>
    </xf>
    <xf numFmtId="0" fontId="5" fillId="26" borderId="4" xfId="0" applyFont="1" applyFill="1" applyBorder="1" applyAlignment="1">
      <alignment horizontal="center" vertical="center"/>
    </xf>
    <xf numFmtId="0" fontId="5" fillId="26" borderId="25" xfId="0" applyFont="1" applyFill="1" applyBorder="1" applyAlignment="1">
      <alignment horizontal="center" vertical="center"/>
    </xf>
    <xf numFmtId="0" fontId="5" fillId="26" borderId="1" xfId="0" applyFont="1" applyFill="1" applyBorder="1" applyAlignment="1">
      <alignment horizontal="center" vertical="center"/>
    </xf>
    <xf numFmtId="164" fontId="7" fillId="26" borderId="25" xfId="0" applyNumberFormat="1" applyFont="1" applyFill="1" applyBorder="1" applyAlignment="1">
      <alignment horizontal="center" vertical="center"/>
    </xf>
    <xf numFmtId="164" fontId="7" fillId="26" borderId="1" xfId="0" applyNumberFormat="1" applyFont="1" applyFill="1" applyBorder="1" applyAlignment="1">
      <alignment horizontal="center" vertical="center"/>
    </xf>
    <xf numFmtId="166" fontId="0" fillId="26" borderId="25" xfId="0" applyNumberFormat="1" applyFill="1" applyBorder="1" applyAlignment="1">
      <alignment horizontal="center" vertical="center"/>
    </xf>
    <xf numFmtId="166" fontId="0" fillId="26" borderId="1" xfId="0" applyNumberFormat="1" applyFill="1" applyBorder="1" applyAlignment="1">
      <alignment horizontal="center" vertical="center"/>
    </xf>
    <xf numFmtId="164" fontId="5" fillId="26" borderId="25" xfId="0" applyNumberFormat="1" applyFont="1" applyFill="1" applyBorder="1" applyAlignment="1">
      <alignment horizontal="center" vertical="center"/>
    </xf>
    <xf numFmtId="164" fontId="5" fillId="26" borderId="1" xfId="0" applyNumberFormat="1" applyFont="1" applyFill="1" applyBorder="1" applyAlignment="1">
      <alignment horizontal="center" vertical="center"/>
    </xf>
    <xf numFmtId="164" fontId="0" fillId="26" borderId="1" xfId="1" applyFont="1" applyFill="1" applyBorder="1" applyAlignment="1">
      <alignment horizontal="center" vertical="center"/>
    </xf>
    <xf numFmtId="166" fontId="0" fillId="26" borderId="5" xfId="0" applyNumberFormat="1" applyFill="1" applyBorder="1" applyAlignment="1">
      <alignment horizontal="center"/>
    </xf>
    <xf numFmtId="166" fontId="0" fillId="26" borderId="4" xfId="0" applyNumberFormat="1" applyFill="1" applyBorder="1" applyAlignment="1">
      <alignment horizontal="center"/>
    </xf>
    <xf numFmtId="166" fontId="0" fillId="26" borderId="1" xfId="0" applyNumberFormat="1" applyFill="1" applyBorder="1" applyAlignment="1">
      <alignment horizontal="center"/>
    </xf>
    <xf numFmtId="166" fontId="0" fillId="26" borderId="6" xfId="0" applyNumberFormat="1" applyFill="1" applyBorder="1" applyAlignment="1">
      <alignment horizontal="center"/>
    </xf>
    <xf numFmtId="166" fontId="0" fillId="26" borderId="8" xfId="0" applyNumberFormat="1" applyFill="1" applyBorder="1" applyAlignment="1">
      <alignment horizontal="center"/>
    </xf>
    <xf numFmtId="166" fontId="0" fillId="26" borderId="10" xfId="0" applyNumberFormat="1" applyFill="1" applyBorder="1" applyAlignment="1">
      <alignment horizontal="center"/>
    </xf>
    <xf numFmtId="166" fontId="0" fillId="26" borderId="6" xfId="0" applyNumberFormat="1" applyFont="1" applyFill="1" applyBorder="1" applyAlignment="1">
      <alignment horizontal="center"/>
    </xf>
    <xf numFmtId="166" fontId="0" fillId="26" borderId="17" xfId="0" applyNumberFormat="1" applyFill="1" applyBorder="1" applyAlignment="1">
      <alignment horizontal="center"/>
    </xf>
    <xf numFmtId="166" fontId="3" fillId="26" borderId="4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left" indent="3"/>
    </xf>
    <xf numFmtId="0" fontId="4" fillId="0" borderId="19" xfId="0" applyFont="1" applyFill="1" applyBorder="1" applyAlignment="1">
      <alignment horizontal="center" vertical="center" wrapText="1"/>
    </xf>
    <xf numFmtId="0" fontId="4" fillId="0" borderId="20" xfId="0" applyFont="1" applyFill="1" applyBorder="1" applyAlignment="1">
      <alignment horizontal="center" vertical="center" wrapText="1"/>
    </xf>
    <xf numFmtId="0" fontId="4" fillId="0" borderId="21" xfId="0" applyFont="1" applyFill="1" applyBorder="1" applyAlignment="1">
      <alignment horizontal="center" vertical="center" wrapText="1"/>
    </xf>
    <xf numFmtId="0" fontId="15" fillId="6" borderId="16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15" xfId="0" applyFont="1" applyFill="1" applyBorder="1" applyAlignment="1">
      <alignment horizontal="center" vertical="center" wrapText="1"/>
    </xf>
    <xf numFmtId="0" fontId="15" fillId="6" borderId="23" xfId="0" applyFont="1" applyFill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0" fontId="2" fillId="9" borderId="13" xfId="3" quotePrefix="1" applyFont="1" applyFill="1" applyBorder="1" applyAlignment="1">
      <alignment horizontal="center" vertical="center" wrapText="1"/>
    </xf>
    <xf numFmtId="0" fontId="2" fillId="9" borderId="12" xfId="3" applyFont="1" applyFill="1" applyBorder="1" applyAlignment="1">
      <alignment horizontal="center" vertical="center" wrapText="1"/>
    </xf>
    <xf numFmtId="0" fontId="2" fillId="9" borderId="14" xfId="3" applyFont="1" applyFill="1" applyBorder="1" applyAlignment="1">
      <alignment horizontal="center" vertical="center" wrapText="1"/>
    </xf>
    <xf numFmtId="0" fontId="13" fillId="13" borderId="16" xfId="3" applyFont="1" applyFill="1" applyBorder="1" applyAlignment="1">
      <alignment horizontal="center" vertical="center" wrapText="1"/>
    </xf>
    <xf numFmtId="0" fontId="13" fillId="13" borderId="19" xfId="3" applyFont="1" applyFill="1" applyBorder="1" applyAlignment="1">
      <alignment horizontal="center" vertical="center" wrapText="1"/>
    </xf>
    <xf numFmtId="0" fontId="13" fillId="13" borderId="11" xfId="3" applyFont="1" applyFill="1" applyBorder="1" applyAlignment="1">
      <alignment horizontal="center" vertical="center" wrapText="1"/>
    </xf>
    <xf numFmtId="0" fontId="13" fillId="13" borderId="20" xfId="3" applyFont="1" applyFill="1" applyBorder="1" applyAlignment="1">
      <alignment horizontal="center" vertical="center" wrapText="1"/>
    </xf>
    <xf numFmtId="0" fontId="13" fillId="13" borderId="0" xfId="3" applyFont="1" applyFill="1" applyBorder="1" applyAlignment="1">
      <alignment horizontal="center" vertical="center" wrapText="1"/>
    </xf>
    <xf numFmtId="0" fontId="13" fillId="13" borderId="15" xfId="3" applyFont="1" applyFill="1" applyBorder="1" applyAlignment="1">
      <alignment horizontal="center" vertical="center" wrapText="1"/>
    </xf>
    <xf numFmtId="0" fontId="13" fillId="13" borderId="23" xfId="3" applyFont="1" applyFill="1" applyBorder="1" applyAlignment="1">
      <alignment horizontal="center" vertical="center" wrapText="1"/>
    </xf>
    <xf numFmtId="0" fontId="15" fillId="2" borderId="16" xfId="3" applyFont="1" applyFill="1" applyBorder="1" applyAlignment="1">
      <alignment horizontal="center" vertical="center" wrapText="1"/>
    </xf>
    <xf numFmtId="0" fontId="15" fillId="2" borderId="22" xfId="3" applyFont="1" applyFill="1" applyBorder="1" applyAlignment="1">
      <alignment horizontal="center" vertical="center" wrapText="1"/>
    </xf>
    <xf numFmtId="0" fontId="15" fillId="2" borderId="11" xfId="3" applyFont="1" applyFill="1" applyBorder="1" applyAlignment="1">
      <alignment horizontal="center" vertical="center" wrapText="1"/>
    </xf>
    <xf numFmtId="0" fontId="15" fillId="2" borderId="0" xfId="3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13" fillId="8" borderId="13" xfId="3" applyFont="1" applyFill="1" applyBorder="1" applyAlignment="1">
      <alignment horizontal="center" vertical="center" wrapText="1"/>
    </xf>
    <xf numFmtId="0" fontId="13" fillId="8" borderId="12" xfId="3" applyFont="1" applyFill="1" applyBorder="1" applyAlignment="1">
      <alignment horizontal="center" vertical="center" wrapText="1"/>
    </xf>
    <xf numFmtId="0" fontId="13" fillId="8" borderId="14" xfId="3" applyFont="1" applyFill="1" applyBorder="1" applyAlignment="1">
      <alignment horizontal="center" vertical="center" wrapText="1"/>
    </xf>
    <xf numFmtId="0" fontId="13" fillId="5" borderId="13" xfId="0" applyFont="1" applyFill="1" applyBorder="1" applyAlignment="1">
      <alignment horizontal="center" vertical="center"/>
    </xf>
    <xf numFmtId="0" fontId="13" fillId="5" borderId="12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5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 wrapText="1"/>
    </xf>
    <xf numFmtId="0" fontId="20" fillId="18" borderId="16" xfId="0" applyFont="1" applyFill="1" applyBorder="1" applyAlignment="1">
      <alignment horizontal="center" vertical="center" wrapText="1"/>
    </xf>
    <xf numFmtId="0" fontId="20" fillId="18" borderId="19" xfId="0" applyFont="1" applyFill="1" applyBorder="1" applyAlignment="1">
      <alignment horizontal="center" vertical="center" wrapText="1"/>
    </xf>
    <xf numFmtId="0" fontId="20" fillId="18" borderId="11" xfId="0" applyFont="1" applyFill="1" applyBorder="1" applyAlignment="1">
      <alignment horizontal="center" vertical="center" wrapText="1"/>
    </xf>
    <xf numFmtId="0" fontId="20" fillId="18" borderId="20" xfId="0" applyFont="1" applyFill="1" applyBorder="1" applyAlignment="1">
      <alignment horizontal="center" vertical="center" wrapText="1"/>
    </xf>
    <xf numFmtId="0" fontId="20" fillId="18" borderId="15" xfId="0" applyFont="1" applyFill="1" applyBorder="1" applyAlignment="1">
      <alignment horizontal="center" vertical="center" wrapText="1"/>
    </xf>
    <xf numFmtId="0" fontId="20" fillId="18" borderId="21" xfId="0" applyFont="1" applyFill="1" applyBorder="1" applyAlignment="1">
      <alignment horizontal="center" vertical="center" wrapText="1"/>
    </xf>
    <xf numFmtId="0" fontId="19" fillId="11" borderId="13" xfId="0" applyFont="1" applyFill="1" applyBorder="1" applyAlignment="1">
      <alignment horizontal="center" vertical="center" textRotation="255" wrapText="1"/>
    </xf>
    <xf numFmtId="0" fontId="19" fillId="11" borderId="12" xfId="0" applyFont="1" applyFill="1" applyBorder="1" applyAlignment="1">
      <alignment horizontal="center" vertical="center" textRotation="255" wrapText="1"/>
    </xf>
    <xf numFmtId="0" fontId="19" fillId="11" borderId="14" xfId="0" applyFont="1" applyFill="1" applyBorder="1" applyAlignment="1">
      <alignment horizontal="center" vertical="center" textRotation="255" wrapText="1"/>
    </xf>
    <xf numFmtId="0" fontId="11" fillId="25" borderId="58" xfId="0" applyFont="1" applyFill="1" applyBorder="1" applyAlignment="1">
      <alignment horizontal="center"/>
    </xf>
    <xf numFmtId="0" fontId="9" fillId="7" borderId="18" xfId="0" applyFont="1" applyFill="1" applyBorder="1" applyAlignment="1">
      <alignment horizontal="center" vertical="center" textRotation="90"/>
    </xf>
    <xf numFmtId="0" fontId="9" fillId="7" borderId="54" xfId="0" applyFont="1" applyFill="1" applyBorder="1" applyAlignment="1">
      <alignment horizontal="center" vertical="center" textRotation="90"/>
    </xf>
    <xf numFmtId="0" fontId="9" fillId="7" borderId="0" xfId="0" applyFont="1" applyFill="1" applyAlignment="1">
      <alignment horizontal="center" vertical="center" textRotation="90"/>
    </xf>
    <xf numFmtId="0" fontId="9" fillId="7" borderId="48" xfId="0" applyFont="1" applyFill="1" applyBorder="1" applyAlignment="1">
      <alignment horizontal="center" vertical="center" textRotation="90"/>
    </xf>
    <xf numFmtId="166" fontId="3" fillId="0" borderId="36" xfId="0" applyNumberFormat="1" applyFont="1" applyBorder="1" applyAlignment="1">
      <alignment horizontal="center" vertical="center"/>
    </xf>
    <xf numFmtId="0" fontId="18" fillId="17" borderId="36" xfId="0" applyFont="1" applyFill="1" applyBorder="1" applyAlignment="1">
      <alignment horizontal="left" vertical="center" indent="60"/>
    </xf>
    <xf numFmtId="166" fontId="15" fillId="18" borderId="36" xfId="0" applyNumberFormat="1" applyFont="1" applyFill="1" applyBorder="1" applyAlignment="1">
      <alignment horizontal="center" vertical="center" textRotation="255" wrapText="1"/>
    </xf>
    <xf numFmtId="0" fontId="18" fillId="17" borderId="36" xfId="0" applyFont="1" applyFill="1" applyBorder="1" applyAlignment="1">
      <alignment horizontal="left" vertical="center" indent="61"/>
    </xf>
    <xf numFmtId="0" fontId="18" fillId="17" borderId="36" xfId="0" applyFont="1" applyFill="1" applyBorder="1" applyAlignment="1">
      <alignment horizontal="left" vertical="center" indent="62"/>
    </xf>
    <xf numFmtId="166" fontId="15" fillId="18" borderId="36" xfId="0" applyNumberFormat="1" applyFont="1" applyFill="1" applyBorder="1" applyAlignment="1">
      <alignment horizontal="center" vertical="center" wrapText="1"/>
    </xf>
    <xf numFmtId="0" fontId="18" fillId="17" borderId="36" xfId="0" applyFont="1" applyFill="1" applyBorder="1" applyAlignment="1">
      <alignment horizontal="left" vertical="center" indent="63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77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rgb="FF9C0006"/>
      </font>
    </dxf>
    <dxf>
      <font>
        <color rgb="FF9C0006"/>
      </font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3333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9C0006"/>
      </font>
    </dxf>
  </dxfs>
  <tableStyles count="0" defaultTableStyle="TableStyleMedium2" defaultPivotStyle="PivotStyleLight16"/>
  <colors>
    <mruColors>
      <color rgb="FFFF3333"/>
      <color rgb="FFC33421"/>
      <color rgb="FFE6B6B2"/>
      <color rgb="FFFFFFFF"/>
      <color rgb="FFDC0808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Origem da Receita Parcial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v>Origem da Receita Parcial no Ano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5E-486F-9FCC-0718765A6EA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5E-486F-9FCC-0718765A6EA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05E-486F-9FCC-0718765A6EA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05E-486F-9FCC-0718765A6EA0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05E-486F-9FCC-0718765A6EA0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05E-486F-9FCC-0718765A6E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Receita!$D$3:$D$8</c:f>
              <c:strCache>
                <c:ptCount val="5"/>
                <c:pt idx="0">
                  <c:v>Salário Estágio</c:v>
                </c:pt>
                <c:pt idx="1">
                  <c:v>Startup</c:v>
                </c:pt>
                <c:pt idx="2">
                  <c:v>Freelancer</c:v>
                </c:pt>
                <c:pt idx="3">
                  <c:v>Apps</c:v>
                </c:pt>
                <c:pt idx="4">
                  <c:v>Outros</c:v>
                </c:pt>
              </c:strCache>
            </c:strRef>
          </c:cat>
          <c:val>
            <c:numRef>
              <c:f>Receita!$Q$3:$Q$8</c:f>
              <c:numCache>
                <c:formatCode>_-"R$"\ * #,##0.00_-;\-"R$"\ * #,##0.00_-;_-"R$"\ * "-"??_-;_-@_-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5E-486F-9FCC-0718765A6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400"/>
              <a:t>Origem de Receita 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2882082982979444E-2"/>
          <c:y val="8.8832691176584905E-2"/>
          <c:w val="0.8966272965879265"/>
          <c:h val="0.754859759611342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TabAux!$C$19:$I$19</c:f>
              <c:strCache>
                <c:ptCount val="7"/>
                <c:pt idx="0">
                  <c:v> R$ -   </c:v>
                </c:pt>
                <c:pt idx="1">
                  <c:v> R$ -   </c:v>
                </c:pt>
                <c:pt idx="2">
                  <c:v> R$ -   </c:v>
                </c:pt>
                <c:pt idx="3">
                  <c:v> R$ -   </c:v>
                </c:pt>
                <c:pt idx="4">
                  <c:v> R$ -   </c:v>
                </c:pt>
                <c:pt idx="5">
                  <c:v> R$ -   </c:v>
                </c:pt>
                <c:pt idx="6">
                  <c:v> R$ -  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Receita!$D$3:$D$8</c:f>
              <c:strCache>
                <c:ptCount val="5"/>
                <c:pt idx="0">
                  <c:v>Salário Estágio</c:v>
                </c:pt>
                <c:pt idx="1">
                  <c:v>Startup</c:v>
                </c:pt>
                <c:pt idx="2">
                  <c:v>Freelancer</c:v>
                </c:pt>
                <c:pt idx="3">
                  <c:v>Apps</c:v>
                </c:pt>
                <c:pt idx="4">
                  <c:v>Outros</c:v>
                </c:pt>
              </c:strCache>
            </c:strRef>
          </c:cat>
          <c:val>
            <c:numRef>
              <c:f>TabAux!$C$19:$I$19</c:f>
              <c:numCache>
                <c:formatCode>_-"R$"\ * #,##0.00_-;\-"R$"\ * #,##0.00_-;_-"R$"\ 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C8-42C4-B209-7BF7BE508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46121360"/>
        <c:axId val="446122448"/>
      </c:barChart>
      <c:catAx>
        <c:axId val="44612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6122448"/>
        <c:crosses val="autoZero"/>
        <c:auto val="1"/>
        <c:lblAlgn val="ctr"/>
        <c:lblOffset val="100"/>
        <c:noMultiLvlLbl val="0"/>
      </c:catAx>
      <c:valAx>
        <c:axId val="446122448"/>
        <c:scaling>
          <c:orientation val="minMax"/>
        </c:scaling>
        <c:delete val="0"/>
        <c:axPos val="l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612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025610760961677E-2"/>
          <c:y val="0.18763888888888891"/>
          <c:w val="0.96994877847807659"/>
          <c:h val="0.70496172353455822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Receita!$E$2:$P$2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Receita!$E$9:$P$9</c:f>
              <c:numCache>
                <c:formatCode>_-"R$"\ * #,##0.00_-;\-"R$"\ * #,##0.00_-;_-"R$"\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76-4432-B511-874179FEF7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80888648"/>
        <c:axId val="380878152"/>
      </c:barChart>
      <c:lineChart>
        <c:grouping val="standard"/>
        <c:varyColors val="0"/>
        <c:ser>
          <c:idx val="1"/>
          <c:order val="1"/>
          <c:tx>
            <c:v>Linha</c:v>
          </c:tx>
          <c:spPr>
            <a:ln w="34925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'Gráficos Receita'!$C$3:$C$14</c:f>
              <c:numCache>
                <c:formatCode>General</c:formatCode>
                <c:ptCount val="12"/>
                <c:pt idx="0">
                  <c:v>6000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6000</c:v>
                </c:pt>
                <c:pt idx="7">
                  <c:v>6000</c:v>
                </c:pt>
                <c:pt idx="8">
                  <c:v>6000</c:v>
                </c:pt>
                <c:pt idx="9">
                  <c:v>6000</c:v>
                </c:pt>
                <c:pt idx="10">
                  <c:v>6000</c:v>
                </c:pt>
                <c:pt idx="11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76-4432-B511-874179FEF7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0888648"/>
        <c:axId val="380878152"/>
      </c:lineChart>
      <c:catAx>
        <c:axId val="380888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0878152"/>
        <c:crosses val="autoZero"/>
        <c:auto val="1"/>
        <c:lblAlgn val="ctr"/>
        <c:lblOffset val="100"/>
        <c:noMultiLvlLbl val="0"/>
      </c:catAx>
      <c:valAx>
        <c:axId val="380878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088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Saldo na Conta</a:t>
            </a:r>
          </a:p>
        </c:rich>
      </c:tx>
      <c:layout>
        <c:manualLayout>
          <c:xMode val="edge"/>
          <c:yMode val="edge"/>
          <c:x val="0.42165128022145043"/>
          <c:y val="3.79346712191590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'Gráficos Resultado'!$B$3:$B$14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'Gráficos Resultado'!$C$3:$C$14</c:f>
              <c:numCache>
                <c:formatCode>_-"R$"\ * #,##0.00_-;\-"R$"\ * #,##0.00_-;_-"R$"\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C-44B9-9C90-C45FF7A83E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96143432"/>
        <c:axId val="396142776"/>
      </c:barChart>
      <c:lineChart>
        <c:grouping val="standard"/>
        <c:varyColors val="0"/>
        <c:ser>
          <c:idx val="1"/>
          <c:order val="1"/>
          <c:tx>
            <c:v>Linha</c:v>
          </c:tx>
          <c:spPr>
            <a:ln w="34925" cap="rnd">
              <a:solidFill>
                <a:schemeClr val="tx1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'Gráficos Resultado'!$E$3:$E$14</c:f>
              <c:numCache>
                <c:formatCode>General</c:formatCode>
                <c:ptCount val="12"/>
                <c:pt idx="0">
                  <c:v>13000</c:v>
                </c:pt>
                <c:pt idx="1">
                  <c:v>13000</c:v>
                </c:pt>
                <c:pt idx="2">
                  <c:v>13000</c:v>
                </c:pt>
                <c:pt idx="3">
                  <c:v>13000</c:v>
                </c:pt>
                <c:pt idx="4">
                  <c:v>13000</c:v>
                </c:pt>
                <c:pt idx="5">
                  <c:v>13000</c:v>
                </c:pt>
                <c:pt idx="6">
                  <c:v>13000</c:v>
                </c:pt>
                <c:pt idx="7">
                  <c:v>13000</c:v>
                </c:pt>
                <c:pt idx="8">
                  <c:v>13000</c:v>
                </c:pt>
                <c:pt idx="9">
                  <c:v>13000</c:v>
                </c:pt>
                <c:pt idx="10">
                  <c:v>13000</c:v>
                </c:pt>
                <c:pt idx="11">
                  <c:v>13000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BC-44B9-9C90-C45FF7A83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143432"/>
        <c:axId val="396142776"/>
      </c:lineChart>
      <c:catAx>
        <c:axId val="396143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6142776"/>
        <c:crosses val="autoZero"/>
        <c:auto val="1"/>
        <c:lblAlgn val="ctr"/>
        <c:lblOffset val="100"/>
        <c:noMultiLvlLbl val="0"/>
      </c:catAx>
      <c:valAx>
        <c:axId val="396142776"/>
        <c:scaling>
          <c:orientation val="minMax"/>
        </c:scaling>
        <c:delete val="0"/>
        <c:axPos val="l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614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200"/>
              <a:t>Despesa por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648589952013091"/>
          <c:y val="0.24520593208057581"/>
          <c:w val="0.28687300462957821"/>
          <c:h val="0.46938060963238493"/>
        </c:manualLayout>
      </c:layout>
      <c:pieChart>
        <c:varyColors val="1"/>
        <c:ser>
          <c:idx val="0"/>
          <c:order val="0"/>
          <c:tx>
            <c:v>Despesas por mês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37-4631-A27F-61F0947B7D4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37-4631-A27F-61F0947B7D4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37-4631-A27F-61F0947B7D4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D37-4631-A27F-61F0947B7D4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D37-4631-A27F-61F0947B7D4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D37-4631-A27F-61F0947B7D4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D37-4631-A27F-61F0947B7D49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D37-4631-A27F-61F0947B7D49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D37-4631-A27F-61F0947B7D49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D37-4631-A27F-61F0947B7D49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D37-4631-A27F-61F0947B7D49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AD37-4631-A27F-61F0947B7D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Geral!$F$3:$Q$3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Geral!$F$113:$Q$113</c:f>
              <c:numCache>
                <c:formatCode>_-"R$"\ * #,##0.00_-;\-"R$"\ * #,##0.00_-;_-"R$"\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D37-4631-A27F-61F0947B7D4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200"/>
              <a:t>Despesa no ano </a:t>
            </a:r>
            <a:r>
              <a:rPr lang="pt-BR" sz="1100"/>
              <a:t>por</a:t>
            </a:r>
            <a:r>
              <a:rPr lang="pt-BR" sz="1100" baseline="0"/>
              <a:t> </a:t>
            </a:r>
            <a:r>
              <a:rPr lang="pt-BR" sz="1200"/>
              <a:t>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3348350112952296"/>
          <c:y val="0.16670360110803326"/>
          <c:w val="0.2932322638774631"/>
          <c:h val="0.4898034767814687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EE-49C6-BEEC-98573D2A43C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AEE-49C6-BEEC-98573D2A43C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AEE-49C6-BEEC-98573D2A43C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AEE-49C6-BEEC-98573D2A43C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AEE-49C6-BEEC-98573D2A43C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AEE-49C6-BEEC-98573D2A43C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AEE-49C6-BEEC-98573D2A43C9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AEE-49C6-BEEC-98573D2A43C9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AEE-49C6-BEEC-98573D2A43C9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AEE-49C6-BEEC-98573D2A43C9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CAEE-49C6-BEEC-98573D2A43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TabAux!$V$31:$V$41</c:f>
              <c:strCache>
                <c:ptCount val="11"/>
                <c:pt idx="0">
                  <c:v>Habitação</c:v>
                </c:pt>
                <c:pt idx="1">
                  <c:v>Saúde</c:v>
                </c:pt>
                <c:pt idx="2">
                  <c:v>Transporte</c:v>
                </c:pt>
                <c:pt idx="3">
                  <c:v>Educação</c:v>
                </c:pt>
                <c:pt idx="4">
                  <c:v>Lazer</c:v>
                </c:pt>
                <c:pt idx="5">
                  <c:v>Impostos</c:v>
                </c:pt>
                <c:pt idx="6">
                  <c:v>Aparelhos Pessoais</c:v>
                </c:pt>
                <c:pt idx="7">
                  <c:v>Acessórios</c:v>
                </c:pt>
                <c:pt idx="8">
                  <c:v>Cuidados Estéticos</c:v>
                </c:pt>
                <c:pt idx="9">
                  <c:v>Outros</c:v>
                </c:pt>
                <c:pt idx="10">
                  <c:v>Alimentação</c:v>
                </c:pt>
              </c:strCache>
            </c:strRef>
          </c:cat>
          <c:val>
            <c:numRef>
              <c:f>TabAux!$AI$31:$AI$41</c:f>
              <c:numCache>
                <c:formatCode>_-"R$"\ * #,##0.00_-;\-"R$"\ * #,##0.00_-;_-"R$"\ * "-"??_-;_-@_-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AEE-49C6-BEEC-98573D2A43C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400"/>
              <a:t>Despesa por categoria por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TabAux!$X$18:$AH$18</c:f>
              <c:strCache>
                <c:ptCount val="11"/>
                <c:pt idx="0">
                  <c:v>Habitação</c:v>
                </c:pt>
                <c:pt idx="1">
                  <c:v>Alimentação</c:v>
                </c:pt>
                <c:pt idx="2">
                  <c:v>Saúde</c:v>
                </c:pt>
                <c:pt idx="3">
                  <c:v>Transporte</c:v>
                </c:pt>
                <c:pt idx="4">
                  <c:v>Educação</c:v>
                </c:pt>
                <c:pt idx="5">
                  <c:v>Lazer</c:v>
                </c:pt>
                <c:pt idx="6">
                  <c:v>Impostos</c:v>
                </c:pt>
                <c:pt idx="7">
                  <c:v>Aparelhos Pessoais</c:v>
                </c:pt>
                <c:pt idx="8">
                  <c:v>Acessórios</c:v>
                </c:pt>
                <c:pt idx="9">
                  <c:v>Cuidados Estéticos</c:v>
                </c:pt>
                <c:pt idx="10">
                  <c:v>Outros</c:v>
                </c:pt>
              </c:strCache>
            </c:strRef>
          </c:cat>
          <c:val>
            <c:numRef>
              <c:f>TabAux!$X$19:$AH$19</c:f>
              <c:numCache>
                <c:formatCode>_-"R$"\ * #,##0.00_-;\-"R$"\ * #,##0.00_-;_-"R$"\ * "-"??_-;_-@_-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2-4962-BCE5-0DE527C01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46122992"/>
        <c:axId val="446123536"/>
      </c:barChart>
      <c:catAx>
        <c:axId val="446122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6123536"/>
        <c:crosses val="autoZero"/>
        <c:auto val="1"/>
        <c:lblAlgn val="ctr"/>
        <c:lblOffset val="100"/>
        <c:noMultiLvlLbl val="0"/>
      </c:catAx>
      <c:valAx>
        <c:axId val="446123536"/>
        <c:scaling>
          <c:orientation val="minMax"/>
        </c:scaling>
        <c:delete val="0"/>
        <c:axPos val="l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612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Despesa Fixas</a:t>
            </a:r>
            <a:r>
              <a:rPr lang="pt-BR" baseline="0"/>
              <a:t> e Variáveis Mensais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871719160104988"/>
          <c:y val="0.16245370370370371"/>
          <c:w val="0.64197428190738925"/>
          <c:h val="0.60842191601049866"/>
        </c:manualLayout>
      </c:layout>
      <c:barChart>
        <c:barDir val="col"/>
        <c:grouping val="clustered"/>
        <c:varyColors val="0"/>
        <c:ser>
          <c:idx val="0"/>
          <c:order val="0"/>
          <c:tx>
            <c:v>Despesa Fixa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Geral!$F$3:$Q$3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Geral!$F$48:$Q$48</c:f>
              <c:numCache>
                <c:formatCode>_-"R$"\ * #,##0.00_-;\-"R$"\ * #,##0.00_-;_-"R$"\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05-48C6-A86A-3EBA8424BF95}"/>
            </c:ext>
          </c:extLst>
        </c:ser>
        <c:ser>
          <c:idx val="1"/>
          <c:order val="1"/>
          <c:tx>
            <c:v>Despesa Variável</c:v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Geral!$F$3:$Q$3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Geral!$F$108:$Q$108</c:f>
              <c:numCache>
                <c:formatCode>_-"R$"\ * #,##0.00_-;\-"R$"\ * #,##0.00_-;_-"R$"\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05-48C6-A86A-3EBA8424B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46125168"/>
        <c:axId val="429761296"/>
      </c:barChart>
      <c:catAx>
        <c:axId val="44612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761296"/>
        <c:crosses val="autoZero"/>
        <c:auto val="1"/>
        <c:lblAlgn val="ctr"/>
        <c:lblOffset val="100"/>
        <c:noMultiLvlLbl val="0"/>
      </c:catAx>
      <c:valAx>
        <c:axId val="429761296"/>
        <c:scaling>
          <c:orientation val="minMax"/>
        </c:scaling>
        <c:delete val="0"/>
        <c:axPos val="l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612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0352621726219"/>
          <c:y val="0.40915651996155922"/>
          <c:w val="0.14214350245163038"/>
          <c:h val="0.139897306548959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200"/>
              <a:t>Saldo Ganhos e Perdas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Geral!$F$3:$Q$3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Geral!$F$129:$Q$129</c:f>
              <c:numCache>
                <c:formatCode>_-"R$"\ * #,##0.00_-;\-"R$"\ * #,##0.00_-;_-"R$"\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C4-4275-A878-16986D502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29765648"/>
        <c:axId val="429766192"/>
      </c:barChart>
      <c:catAx>
        <c:axId val="42976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766192"/>
        <c:crosses val="autoZero"/>
        <c:auto val="1"/>
        <c:lblAlgn val="ctr"/>
        <c:lblOffset val="100"/>
        <c:noMultiLvlLbl val="0"/>
      </c:catAx>
      <c:valAx>
        <c:axId val="429766192"/>
        <c:scaling>
          <c:orientation val="minMax"/>
        </c:scaling>
        <c:delete val="0"/>
        <c:axPos val="l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976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Aportes</a:t>
            </a:r>
            <a:r>
              <a:rPr lang="pt-BR" baseline="0"/>
              <a:t>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'Gráficos Investimentos'!$B$3:$B$14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'Gráficos Investimentos'!$C$3:$C$14</c:f>
              <c:numCache>
                <c:formatCode>_-"R$"\ * #,##0.00_-;\-"R$"\ * #,##0.00_-;_-"R$"\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F9-4BC6-8D94-862D934A4A7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37524496"/>
        <c:axId val="337526464"/>
      </c:barChart>
      <c:lineChart>
        <c:grouping val="standard"/>
        <c:varyColors val="0"/>
        <c:ser>
          <c:idx val="1"/>
          <c:order val="1"/>
          <c:tx>
            <c:v>Linha</c:v>
          </c:tx>
          <c:spPr>
            <a:ln w="34925" cap="rnd">
              <a:solidFill>
                <a:schemeClr val="tx1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'Gráficos Investimentos'!$E$3:$E$14</c:f>
              <c:numCache>
                <c:formatCode>General</c:formatCode>
                <c:ptCount val="12"/>
                <c:pt idx="0">
                  <c:v>2500</c:v>
                </c:pt>
                <c:pt idx="1">
                  <c:v>2500</c:v>
                </c:pt>
                <c:pt idx="2">
                  <c:v>2500</c:v>
                </c:pt>
                <c:pt idx="3">
                  <c:v>2500</c:v>
                </c:pt>
                <c:pt idx="4">
                  <c:v>2500</c:v>
                </c:pt>
                <c:pt idx="5">
                  <c:v>2500</c:v>
                </c:pt>
                <c:pt idx="6">
                  <c:v>2500</c:v>
                </c:pt>
                <c:pt idx="7">
                  <c:v>2500</c:v>
                </c:pt>
                <c:pt idx="8">
                  <c:v>2500</c:v>
                </c:pt>
                <c:pt idx="9">
                  <c:v>2500</c:v>
                </c:pt>
                <c:pt idx="10">
                  <c:v>2500</c:v>
                </c:pt>
                <c:pt idx="11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F9-4BC6-8D94-862D934A4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524496"/>
        <c:axId val="337526464"/>
      </c:lineChart>
      <c:catAx>
        <c:axId val="33752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7526464"/>
        <c:crosses val="autoZero"/>
        <c:auto val="1"/>
        <c:lblAlgn val="ctr"/>
        <c:lblOffset val="100"/>
        <c:noMultiLvlLbl val="0"/>
      </c:catAx>
      <c:valAx>
        <c:axId val="337526464"/>
        <c:scaling>
          <c:orientation val="minMax"/>
        </c:scaling>
        <c:delete val="0"/>
        <c:axPos val="l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752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  <a:prstDash val="dash"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Ganhos Mensais</a:t>
            </a:r>
          </a:p>
        </c:rich>
      </c:tx>
      <c:layout>
        <c:manualLayout>
          <c:xMode val="edge"/>
          <c:yMode val="edge"/>
          <c:x val="0.35090655909867552"/>
          <c:y val="3.18936810330539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'Gráficos Investimentos'!$B$21:$B$32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'Gráficos Investimentos'!$C$21:$C$32</c:f>
              <c:numCache>
                <c:formatCode>_-"R$"\ * #,##0.00_-;\-"R$"\ * #,##0.00_-;_-"R$"\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05-4F78-9816-59AAA0E2147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32930368"/>
        <c:axId val="432928072"/>
      </c:barChart>
      <c:lineChart>
        <c:grouping val="standard"/>
        <c:varyColors val="0"/>
        <c:ser>
          <c:idx val="1"/>
          <c:order val="1"/>
          <c:tx>
            <c:v>Linha</c:v>
          </c:tx>
          <c:spPr>
            <a:ln w="34925" cap="rnd">
              <a:solidFill>
                <a:schemeClr val="tx1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'Gráficos Investimentos'!$E$21:$E$32</c:f>
              <c:numCache>
                <c:formatCode>General</c:formatCode>
                <c:ptCount val="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05-4F78-9816-59AAA0E21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930368"/>
        <c:axId val="432928072"/>
      </c:lineChart>
      <c:catAx>
        <c:axId val="43293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2928072"/>
        <c:crosses val="autoZero"/>
        <c:auto val="1"/>
        <c:lblAlgn val="ctr"/>
        <c:lblOffset val="100"/>
        <c:noMultiLvlLbl val="0"/>
      </c:catAx>
      <c:valAx>
        <c:axId val="432928072"/>
        <c:scaling>
          <c:orientation val="minMax"/>
        </c:scaling>
        <c:delete val="0"/>
        <c:axPos val="l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293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  <a:prstDash val="dash"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Perdas</a:t>
            </a:r>
            <a:r>
              <a:rPr lang="pt-BR" baseline="0"/>
              <a:t>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'Gráficos Investimentos'!$M$21:$M$32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'Gráficos Investimentos'!$N$21:$N$32</c:f>
              <c:numCache>
                <c:formatCode>_-"R$"\ * #,##0.00_-;\-"R$"\ * #,##0.00_-;_-"R$"\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EE-44DD-A5BE-D7BA16172F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43379048"/>
        <c:axId val="443385936"/>
      </c:barChart>
      <c:lineChart>
        <c:grouping val="standard"/>
        <c:varyColors val="0"/>
        <c:ser>
          <c:idx val="1"/>
          <c:order val="1"/>
          <c:tx>
            <c:v>Linha</c:v>
          </c:tx>
          <c:spPr>
            <a:ln w="34925" cap="rnd">
              <a:solidFill>
                <a:schemeClr val="tx1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'Gráficos Investimentos'!$P$21:$P$32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EE-44DD-A5BE-D7BA1617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379048"/>
        <c:axId val="443385936"/>
      </c:lineChart>
      <c:catAx>
        <c:axId val="44337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385936"/>
        <c:crosses val="autoZero"/>
        <c:auto val="1"/>
        <c:lblAlgn val="ctr"/>
        <c:lblOffset val="100"/>
        <c:noMultiLvlLbl val="0"/>
      </c:catAx>
      <c:valAx>
        <c:axId val="443385936"/>
        <c:scaling>
          <c:orientation val="minMax"/>
        </c:scaling>
        <c:delete val="0"/>
        <c:axPos val="l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37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Saldo de Ganhos e Perdas</a:t>
            </a:r>
            <a:r>
              <a:rPr lang="pt-BR" baseline="0"/>
              <a:t> Mensais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'Gráficos Investimentos'!$B$41:$B$52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'Gráficos Investimentos'!$C$41:$C$52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15-4C12-A734-8B597346447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92782728"/>
        <c:axId val="492786336"/>
      </c:barChart>
      <c:lineChart>
        <c:grouping val="standard"/>
        <c:varyColors val="0"/>
        <c:ser>
          <c:idx val="1"/>
          <c:order val="1"/>
          <c:tx>
            <c:v>Linha</c:v>
          </c:tx>
          <c:spPr>
            <a:ln w="34925" cap="rnd">
              <a:solidFill>
                <a:schemeClr val="tx1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'Gráficos Investimentos'!$E$41:$E$52</c:f>
              <c:numCache>
                <c:formatCode>General</c:formatCode>
                <c:ptCount val="12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5-4C12-A734-8B5973464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82728"/>
        <c:axId val="492786336"/>
      </c:lineChart>
      <c:catAx>
        <c:axId val="492782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2786336"/>
        <c:crosses val="autoZero"/>
        <c:auto val="1"/>
        <c:lblAlgn val="ctr"/>
        <c:lblOffset val="100"/>
        <c:noMultiLvlLbl val="0"/>
      </c:catAx>
      <c:valAx>
        <c:axId val="492786336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278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Drop" dropStyle="combo" dx="25" fmlaLink="TabAux!$L$15" fmlaRange="TabAux!$B$4:$B$15" noThreeD="1" sel="4" val="0"/>
</file>

<file path=xl/ctrlProps/ctrlProp2.xml><?xml version="1.0" encoding="utf-8"?>
<formControlPr xmlns="http://schemas.microsoft.com/office/spreadsheetml/2009/9/main" objectType="Spin" dx="22" fmlaLink="$C$2" inc="500" max="30000" page="10" val="6000"/>
</file>

<file path=xl/ctrlProps/ctrlProp3.xml><?xml version="1.0" encoding="utf-8"?>
<formControlPr xmlns="http://schemas.microsoft.com/office/spreadsheetml/2009/9/main" objectType="Drop" dropStyle="combo" dx="25" fmlaLink="$L$11" fmlaRange="$B$4:$B$15" noThreeD="1" sel="0" val="0"/>
</file>

<file path=xl/ctrlProps/ctrlProp4.xml><?xml version="1.0" encoding="utf-8"?>
<formControlPr xmlns="http://schemas.microsoft.com/office/spreadsheetml/2009/9/main" objectType="Spin" dx="22" fmlaLink="$E$2" inc="1000" max="30000" page="10" val="13000"/>
</file>

<file path=xl/ctrlProps/ctrlProp5.xml><?xml version="1.0" encoding="utf-8"?>
<formControlPr xmlns="http://schemas.microsoft.com/office/spreadsheetml/2009/9/main" objectType="Drop" dropStyle="combo" dx="25" fmlaLink="TabAux!$X$22" fmlaRange="TabAux!$W$4:$W$15" noThreeD="1" sel="10" val="4"/>
</file>

<file path=xl/ctrlProps/ctrlProp6.xml><?xml version="1.0" encoding="utf-8"?>
<formControlPr xmlns="http://schemas.microsoft.com/office/spreadsheetml/2009/9/main" objectType="Spin" dx="22" fmlaLink="$E$2" inc="500" max="30000" page="10" val="2500"/>
</file>

<file path=xl/ctrlProps/ctrlProp7.xml><?xml version="1.0" encoding="utf-8"?>
<formControlPr xmlns="http://schemas.microsoft.com/office/spreadsheetml/2009/9/main" objectType="Spin" dx="22" fmlaLink="E20" inc="100" max="30000" page="10" val="100"/>
</file>

<file path=xl/ctrlProps/ctrlProp8.xml><?xml version="1.0" encoding="utf-8"?>
<formControlPr xmlns="http://schemas.microsoft.com/office/spreadsheetml/2009/9/main" objectType="Spin" dx="22" fmlaLink="$E$40" inc="50" max="30000" page="10" val="15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ceita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Gr&#225;ficos Receita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Receita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hyperlink" Target="#Geral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hyperlink" Target="#Geral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Gr&#225;ficos Despesa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7" Type="http://schemas.openxmlformats.org/officeDocument/2006/relationships/hyperlink" Target="#Janeiro!A1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8.xml"/><Relationship Id="rId5" Type="http://schemas.openxmlformats.org/officeDocument/2006/relationships/hyperlink" Target="#Geral!A1"/><Relationship Id="rId4" Type="http://schemas.openxmlformats.org/officeDocument/2006/relationships/hyperlink" Target="#'Despesa Fixa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Gr&#225;ficos Investimento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vestimentos!A1"/><Relationship Id="rId7" Type="http://schemas.openxmlformats.org/officeDocument/2006/relationships/chart" Target="../charts/chart13.xml"/><Relationship Id="rId2" Type="http://schemas.openxmlformats.org/officeDocument/2006/relationships/hyperlink" Target="#Geral!A1"/><Relationship Id="rId1" Type="http://schemas.openxmlformats.org/officeDocument/2006/relationships/chart" Target="../charts/chart9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Gr&#225;ficos Despesa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Gr&#225;ficos Despesa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Gr&#225;ficos Despesa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Gr&#225;ficos Despesa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Gr&#225;ficos Despesa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Gr&#225;ficos Despesa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Gr&#225;ficos Despesa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Gr&#225;ficos Despesa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Gr&#225;ficos Despesa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Gr&#225;ficos Despesa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Gr&#225;ficos Despesa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Gr&#225;ficos Despes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317500</xdr:colOff>
      <xdr:row>3</xdr:row>
      <xdr:rowOff>0</xdr:rowOff>
    </xdr:from>
    <xdr:to>
      <xdr:col>3</xdr:col>
      <xdr:colOff>889001</xdr:colOff>
      <xdr:row>6</xdr:row>
      <xdr:rowOff>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17500" y="391583"/>
          <a:ext cx="2296584" cy="751417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baseline="0">
              <a:solidFill>
                <a:schemeClr val="bg1"/>
              </a:solidFill>
            </a:rPr>
            <a:t>Receitas</a:t>
          </a:r>
        </a:p>
        <a:p>
          <a:pPr algn="ctr"/>
          <a:r>
            <a:rPr lang="pt-BR" sz="1400" b="1" baseline="0">
              <a:solidFill>
                <a:schemeClr val="bg1"/>
              </a:solidFill>
            </a:rPr>
            <a:t>(Planilha)</a:t>
          </a:r>
          <a:endParaRPr lang="pt-BR" sz="1800" b="1" baseline="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3</xdr:col>
      <xdr:colOff>0</xdr:colOff>
      <xdr:row>14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200" y="1854200"/>
          <a:ext cx="1193800" cy="73660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Ir</a:t>
          </a:r>
          <a:r>
            <a:rPr lang="pt-BR" sz="1100" b="1" baseline="0"/>
            <a:t> para aba</a:t>
          </a:r>
        </a:p>
        <a:p>
          <a:pPr algn="ctr"/>
          <a:r>
            <a:rPr lang="pt-BR" sz="1100" b="1" baseline="0"/>
            <a:t>"Gráficos Receita"</a:t>
          </a:r>
          <a:endParaRPr lang="pt-BR" sz="1100" b="1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3</xdr:col>
      <xdr:colOff>0</xdr:colOff>
      <xdr:row>18</xdr:row>
      <xdr:rowOff>0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200" y="2774950"/>
          <a:ext cx="1193800" cy="552450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Ir para</a:t>
          </a:r>
          <a:r>
            <a:rPr lang="pt-BR" sz="1100" b="1" baseline="0"/>
            <a:t> aba "Geral"</a:t>
          </a:r>
          <a:endParaRPr lang="pt-BR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258972</xdr:colOff>
      <xdr:row>19</xdr:row>
      <xdr:rowOff>0</xdr:rowOff>
    </xdr:from>
    <xdr:to>
      <xdr:col>23</xdr:col>
      <xdr:colOff>31749</xdr:colOff>
      <xdr:row>35</xdr:row>
      <xdr:rowOff>163705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68036</xdr:colOff>
      <xdr:row>17</xdr:row>
      <xdr:rowOff>187099</xdr:rowOff>
    </xdr:from>
    <xdr:to>
      <xdr:col>12</xdr:col>
      <xdr:colOff>385536</xdr:colOff>
      <xdr:row>36</xdr:row>
      <xdr:rowOff>187099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18</xdr:row>
          <xdr:rowOff>47625</xdr:rowOff>
        </xdr:from>
        <xdr:to>
          <xdr:col>12</xdr:col>
          <xdr:colOff>314325</xdr:colOff>
          <xdr:row>20</xdr:row>
          <xdr:rowOff>57150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423333</xdr:colOff>
      <xdr:row>0</xdr:row>
      <xdr:rowOff>190499</xdr:rowOff>
    </xdr:from>
    <xdr:to>
      <xdr:col>18</xdr:col>
      <xdr:colOff>296333</xdr:colOff>
      <xdr:row>3</xdr:row>
      <xdr:rowOff>190499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927166" y="190499"/>
          <a:ext cx="1100667" cy="57150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Ir para</a:t>
          </a:r>
          <a:r>
            <a:rPr lang="pt-BR" sz="1100" b="1" baseline="0"/>
            <a:t> aba "Receita"</a:t>
          </a:r>
          <a:endParaRPr lang="pt-BR" sz="1100" b="1"/>
        </a:p>
      </xdr:txBody>
    </xdr:sp>
    <xdr:clientData/>
  </xdr:twoCellAnchor>
  <xdr:twoCellAnchor>
    <xdr:from>
      <xdr:col>16</xdr:col>
      <xdr:colOff>444500</xdr:colOff>
      <xdr:row>5</xdr:row>
      <xdr:rowOff>21166</xdr:rowOff>
    </xdr:from>
    <xdr:to>
      <xdr:col>18</xdr:col>
      <xdr:colOff>317500</xdr:colOff>
      <xdr:row>8</xdr:row>
      <xdr:rowOff>21166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9948333" y="973666"/>
          <a:ext cx="1100667" cy="571500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Ir para aba </a:t>
          </a:r>
        </a:p>
        <a:p>
          <a:pPr algn="ctr"/>
          <a:r>
            <a:rPr lang="pt-BR" sz="1100" b="1">
              <a:solidFill>
                <a:schemeClr val="bg1"/>
              </a:solidFill>
            </a:rPr>
            <a:t>"Geral"</a:t>
          </a:r>
        </a:p>
      </xdr:txBody>
    </xdr:sp>
    <xdr:clientData/>
  </xdr:twoCellAnchor>
  <xdr:twoCellAnchor>
    <xdr:from>
      <xdr:col>0</xdr:col>
      <xdr:colOff>194830</xdr:colOff>
      <xdr:row>1</xdr:row>
      <xdr:rowOff>9525</xdr:rowOff>
    </xdr:from>
    <xdr:to>
      <xdr:col>16</xdr:col>
      <xdr:colOff>264584</xdr:colOff>
      <xdr:row>17</xdr:row>
      <xdr:rowOff>74082</xdr:rowOff>
    </xdr:to>
    <xdr:graphicFrame macro="">
      <xdr:nvGraphicFramePr>
        <xdr:cNvPr id="8" name="Gráfico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1</xdr:row>
          <xdr:rowOff>85725</xdr:rowOff>
        </xdr:from>
        <xdr:to>
          <xdr:col>16</xdr:col>
          <xdr:colOff>133350</xdr:colOff>
          <xdr:row>3</xdr:row>
          <xdr:rowOff>85725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1</xdr:row>
      <xdr:rowOff>10583</xdr:rowOff>
    </xdr:from>
    <xdr:to>
      <xdr:col>18</xdr:col>
      <xdr:colOff>381001</xdr:colOff>
      <xdr:row>4</xdr:row>
      <xdr:rowOff>10583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0562167" y="201083"/>
          <a:ext cx="1227667" cy="571500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Ir para aba </a:t>
          </a:r>
        </a:p>
        <a:p>
          <a:pPr algn="ctr"/>
          <a:r>
            <a:rPr lang="pt-BR" sz="1100" b="1"/>
            <a:t>"Geral"</a:t>
          </a:r>
        </a:p>
      </xdr:txBody>
    </xdr:sp>
    <xdr:clientData/>
  </xdr:twoCellAnchor>
  <xdr:twoCellAnchor>
    <xdr:from>
      <xdr:col>0</xdr:col>
      <xdr:colOff>455082</xdr:colOff>
      <xdr:row>1</xdr:row>
      <xdr:rowOff>25399</xdr:rowOff>
    </xdr:from>
    <xdr:to>
      <xdr:col>15</xdr:col>
      <xdr:colOff>539751</xdr:colOff>
      <xdr:row>22</xdr:row>
      <xdr:rowOff>42332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323850</xdr:colOff>
          <xdr:row>1</xdr:row>
          <xdr:rowOff>47625</xdr:rowOff>
        </xdr:from>
        <xdr:to>
          <xdr:col>15</xdr:col>
          <xdr:colOff>333375</xdr:colOff>
          <xdr:row>3</xdr:row>
          <xdr:rowOff>47625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67</xdr:row>
      <xdr:rowOff>0</xdr:rowOff>
    </xdr:from>
    <xdr:to>
      <xdr:col>3</xdr:col>
      <xdr:colOff>0</xdr:colOff>
      <xdr:row>70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06778" y="12241389"/>
          <a:ext cx="1566333" cy="55033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Ir Para Aba</a:t>
          </a:r>
        </a:p>
        <a:p>
          <a:pPr algn="ctr"/>
          <a:r>
            <a:rPr lang="pt-BR" sz="1100" b="1"/>
            <a:t>"Gráficos Despesa"</a:t>
          </a:r>
        </a:p>
      </xdr:txBody>
    </xdr:sp>
    <xdr:clientData/>
  </xdr:twoCellAnchor>
  <xdr:twoCellAnchor>
    <xdr:from>
      <xdr:col>1</xdr:col>
      <xdr:colOff>0</xdr:colOff>
      <xdr:row>71</xdr:row>
      <xdr:rowOff>0</xdr:rowOff>
    </xdr:from>
    <xdr:to>
      <xdr:col>3</xdr:col>
      <xdr:colOff>0</xdr:colOff>
      <xdr:row>74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06778" y="12975167"/>
          <a:ext cx="1566333" cy="550333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Ir Para Aba</a:t>
          </a:r>
        </a:p>
        <a:p>
          <a:pPr algn="ctr"/>
          <a:r>
            <a:rPr lang="pt-BR" sz="1100" b="1"/>
            <a:t>"Geral"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385417</xdr:colOff>
      <xdr:row>30</xdr:row>
      <xdr:rowOff>33407</xdr:rowOff>
    </xdr:from>
    <xdr:to>
      <xdr:col>14</xdr:col>
      <xdr:colOff>569658</xdr:colOff>
      <xdr:row>44</xdr:row>
      <xdr:rowOff>154056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355600</xdr:colOff>
      <xdr:row>14</xdr:row>
      <xdr:rowOff>24203</xdr:rowOff>
    </xdr:from>
    <xdr:to>
      <xdr:col>14</xdr:col>
      <xdr:colOff>1047750</xdr:colOff>
      <xdr:row>28</xdr:row>
      <xdr:rowOff>172463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322791</xdr:colOff>
      <xdr:row>0</xdr:row>
      <xdr:rowOff>169334</xdr:rowOff>
    </xdr:from>
    <xdr:to>
      <xdr:col>10</xdr:col>
      <xdr:colOff>21166</xdr:colOff>
      <xdr:row>19</xdr:row>
      <xdr:rowOff>169334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</xdr:row>
          <xdr:rowOff>19050</xdr:rowOff>
        </xdr:from>
        <xdr:to>
          <xdr:col>9</xdr:col>
          <xdr:colOff>1104900</xdr:colOff>
          <xdr:row>3</xdr:row>
          <xdr:rowOff>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349250</xdr:colOff>
      <xdr:row>0</xdr:row>
      <xdr:rowOff>179917</xdr:rowOff>
    </xdr:from>
    <xdr:to>
      <xdr:col>11</xdr:col>
      <xdr:colOff>539749</xdr:colOff>
      <xdr:row>3</xdr:row>
      <xdr:rowOff>179917</xdr:rowOff>
    </xdr:to>
    <xdr:sp macro="" textlink="">
      <xdr:nvSpPr>
        <xdr:cNvPr id="8" name="Retângul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7535333" y="179917"/>
          <a:ext cx="1100666" cy="5715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Ir para aba </a:t>
          </a:r>
        </a:p>
        <a:p>
          <a:pPr algn="ctr"/>
          <a:r>
            <a:rPr lang="pt-BR" sz="1100" b="1"/>
            <a:t>"Despesa Fixa"</a:t>
          </a:r>
        </a:p>
      </xdr:txBody>
    </xdr:sp>
    <xdr:clientData/>
  </xdr:twoCellAnchor>
  <xdr:twoCellAnchor>
    <xdr:from>
      <xdr:col>10</xdr:col>
      <xdr:colOff>359834</xdr:colOff>
      <xdr:row>9</xdr:row>
      <xdr:rowOff>105835</xdr:rowOff>
    </xdr:from>
    <xdr:to>
      <xdr:col>11</xdr:col>
      <xdr:colOff>550333</xdr:colOff>
      <xdr:row>12</xdr:row>
      <xdr:rowOff>105834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7545917" y="1820335"/>
          <a:ext cx="1100666" cy="571499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Ir para aba</a:t>
          </a:r>
        </a:p>
        <a:p>
          <a:pPr algn="ctr"/>
          <a:r>
            <a:rPr lang="pt-BR" sz="1100" b="1"/>
            <a:t>"Geral"</a:t>
          </a:r>
        </a:p>
      </xdr:txBody>
    </xdr:sp>
    <xdr:clientData/>
  </xdr:twoCellAnchor>
  <xdr:twoCellAnchor>
    <xdr:from>
      <xdr:col>0</xdr:col>
      <xdr:colOff>343083</xdr:colOff>
      <xdr:row>21</xdr:row>
      <xdr:rowOff>122972</xdr:rowOff>
    </xdr:from>
    <xdr:to>
      <xdr:col>10</xdr:col>
      <xdr:colOff>57976</xdr:colOff>
      <xdr:row>38</xdr:row>
      <xdr:rowOff>83287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361949</xdr:colOff>
      <xdr:row>4</xdr:row>
      <xdr:rowOff>127000</xdr:rowOff>
    </xdr:from>
    <xdr:to>
      <xdr:col>11</xdr:col>
      <xdr:colOff>560916</xdr:colOff>
      <xdr:row>8</xdr:row>
      <xdr:rowOff>127000</xdr:rowOff>
    </xdr:to>
    <xdr:sp macro="" textlink="">
      <xdr:nvSpPr>
        <xdr:cNvPr id="13" name="Retângulo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7548032" y="889000"/>
          <a:ext cx="1109134" cy="762000"/>
        </a:xfrm>
        <a:prstGeom prst="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Ir para abas de </a:t>
          </a:r>
        </a:p>
        <a:p>
          <a:pPr algn="ctr"/>
          <a:r>
            <a:rPr lang="pt-BR" sz="1100" b="1"/>
            <a:t>Despesa</a:t>
          </a:r>
          <a:r>
            <a:rPr lang="pt-BR" sz="1100" b="1" baseline="0"/>
            <a:t> Variável </a:t>
          </a:r>
          <a:endParaRPr lang="pt-BR" sz="11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9921</xdr:colOff>
      <xdr:row>113</xdr:row>
      <xdr:rowOff>178593</xdr:rowOff>
    </xdr:from>
    <xdr:to>
      <xdr:col>2</xdr:col>
      <xdr:colOff>59530</xdr:colOff>
      <xdr:row>117</xdr:row>
      <xdr:rowOff>0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101327" y="14813359"/>
          <a:ext cx="1656953" cy="575469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Ir</a:t>
          </a:r>
          <a:r>
            <a:rPr lang="pt-BR" sz="1100" baseline="0">
              <a:solidFill>
                <a:schemeClr val="bg1"/>
              </a:solidFill>
            </a:rPr>
            <a:t> Para Aba</a:t>
          </a:r>
        </a:p>
        <a:p>
          <a:pPr algn="ctr"/>
          <a:r>
            <a:rPr lang="pt-BR" sz="1100" baseline="0">
              <a:solidFill>
                <a:schemeClr val="bg1"/>
              </a:solidFill>
            </a:rPr>
            <a:t>"Gráficos Investimentos"</a:t>
          </a:r>
          <a:endParaRPr lang="pt-BR" sz="1100">
            <a:solidFill>
              <a:schemeClr val="bg1"/>
            </a:solidFill>
          </a:endParaRPr>
        </a:p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248047</xdr:colOff>
      <xdr:row>113</xdr:row>
      <xdr:rowOff>178593</xdr:rowOff>
    </xdr:from>
    <xdr:to>
      <xdr:col>3</xdr:col>
      <xdr:colOff>486172</xdr:colOff>
      <xdr:row>116</xdr:row>
      <xdr:rowOff>178593</xdr:rowOff>
    </xdr:to>
    <xdr:sp macro="" textlink="">
      <xdr:nvSpPr>
        <xdr:cNvPr id="3" name="CaixaDeTex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2946797" y="14813359"/>
          <a:ext cx="1607344" cy="565547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Ir</a:t>
          </a:r>
          <a:r>
            <a:rPr lang="pt-BR" sz="1100" baseline="0">
              <a:solidFill>
                <a:schemeClr val="bg1"/>
              </a:solidFill>
            </a:rPr>
            <a:t> Para Aba</a:t>
          </a:r>
        </a:p>
        <a:p>
          <a:pPr algn="ctr"/>
          <a:r>
            <a:rPr lang="pt-BR" sz="1100" baseline="0">
              <a:solidFill>
                <a:schemeClr val="bg1"/>
              </a:solidFill>
            </a:rPr>
            <a:t>"Geral"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564091</xdr:colOff>
      <xdr:row>27</xdr:row>
      <xdr:rowOff>107950</xdr:rowOff>
    </xdr:from>
    <xdr:to>
      <xdr:col>32</xdr:col>
      <xdr:colOff>259291</xdr:colOff>
      <xdr:row>42</xdr:row>
      <xdr:rowOff>88900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10582</xdr:colOff>
      <xdr:row>6</xdr:row>
      <xdr:rowOff>0</xdr:rowOff>
    </xdr:from>
    <xdr:to>
      <xdr:col>15</xdr:col>
      <xdr:colOff>550333</xdr:colOff>
      <xdr:row>8</xdr:row>
      <xdr:rowOff>190499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8889999" y="1217083"/>
          <a:ext cx="1153584" cy="571499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Ir para aba</a:t>
          </a:r>
        </a:p>
        <a:p>
          <a:pPr algn="ctr"/>
          <a:r>
            <a:rPr lang="pt-BR" sz="1100" b="1"/>
            <a:t>"Geral"</a:t>
          </a:r>
        </a:p>
      </xdr:txBody>
    </xdr:sp>
    <xdr:clientData/>
  </xdr:twoCellAnchor>
  <xdr:twoCellAnchor>
    <xdr:from>
      <xdr:col>13</xdr:col>
      <xdr:colOff>666749</xdr:colOff>
      <xdr:row>1</xdr:row>
      <xdr:rowOff>179917</xdr:rowOff>
    </xdr:from>
    <xdr:to>
      <xdr:col>15</xdr:col>
      <xdr:colOff>539750</xdr:colOff>
      <xdr:row>4</xdr:row>
      <xdr:rowOff>179917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8879416" y="444500"/>
          <a:ext cx="1153584" cy="5715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Ir para aba</a:t>
          </a:r>
        </a:p>
        <a:p>
          <a:pPr algn="ctr"/>
          <a:r>
            <a:rPr lang="pt-BR" sz="1100" b="1"/>
            <a:t>"Investimentos"</a:t>
          </a:r>
        </a:p>
      </xdr:txBody>
    </xdr:sp>
    <xdr:clientData/>
  </xdr:twoCellAnchor>
  <xdr:twoCellAnchor>
    <xdr:from>
      <xdr:col>0</xdr:col>
      <xdr:colOff>380999</xdr:colOff>
      <xdr:row>0</xdr:row>
      <xdr:rowOff>179917</xdr:rowOff>
    </xdr:from>
    <xdr:to>
      <xdr:col>11</xdr:col>
      <xdr:colOff>1</xdr:colOff>
      <xdr:row>18</xdr:row>
      <xdr:rowOff>105833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257175</xdr:rowOff>
        </xdr:from>
        <xdr:to>
          <xdr:col>10</xdr:col>
          <xdr:colOff>514350</xdr:colOff>
          <xdr:row>2</xdr:row>
          <xdr:rowOff>161925</xdr:rowOff>
        </xdr:to>
        <xdr:sp macro="" textlink="">
          <xdr:nvSpPr>
            <xdr:cNvPr id="12289" name="Spinner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306916</xdr:colOff>
      <xdr:row>19</xdr:row>
      <xdr:rowOff>52917</xdr:rowOff>
    </xdr:from>
    <xdr:to>
      <xdr:col>11</xdr:col>
      <xdr:colOff>21166</xdr:colOff>
      <xdr:row>37</xdr:row>
      <xdr:rowOff>84667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19</xdr:row>
          <xdr:rowOff>85725</xdr:rowOff>
        </xdr:from>
        <xdr:to>
          <xdr:col>10</xdr:col>
          <xdr:colOff>590550</xdr:colOff>
          <xdr:row>21</xdr:row>
          <xdr:rowOff>85725</xdr:rowOff>
        </xdr:to>
        <xdr:sp macro="" textlink="">
          <xdr:nvSpPr>
            <xdr:cNvPr id="12290" name="Spinner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201083</xdr:colOff>
      <xdr:row>19</xdr:row>
      <xdr:rowOff>46566</xdr:rowOff>
    </xdr:from>
    <xdr:to>
      <xdr:col>22</xdr:col>
      <xdr:colOff>306916</xdr:colOff>
      <xdr:row>37</xdr:row>
      <xdr:rowOff>84668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306916</xdr:colOff>
      <xdr:row>38</xdr:row>
      <xdr:rowOff>110064</xdr:rowOff>
    </xdr:from>
    <xdr:to>
      <xdr:col>11</xdr:col>
      <xdr:colOff>0</xdr:colOff>
      <xdr:row>55</xdr:row>
      <xdr:rowOff>137581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561975</xdr:colOff>
          <xdr:row>38</xdr:row>
          <xdr:rowOff>152400</xdr:rowOff>
        </xdr:from>
        <xdr:to>
          <xdr:col>10</xdr:col>
          <xdr:colOff>561975</xdr:colOff>
          <xdr:row>40</xdr:row>
          <xdr:rowOff>171450</xdr:rowOff>
        </xdr:to>
        <xdr:sp macro="" textlink="">
          <xdr:nvSpPr>
            <xdr:cNvPr id="12292" name="Spinner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8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67</xdr:row>
      <xdr:rowOff>0</xdr:rowOff>
    </xdr:from>
    <xdr:to>
      <xdr:col>1</xdr:col>
      <xdr:colOff>1240971</xdr:colOff>
      <xdr:row>71</xdr:row>
      <xdr:rowOff>176893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09600" y="12763500"/>
          <a:ext cx="612321" cy="93889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Ir para aba </a:t>
          </a:r>
        </a:p>
        <a:p>
          <a:pPr algn="ctr"/>
          <a:r>
            <a:rPr lang="pt-BR" sz="1400" b="1"/>
            <a:t>"Gráficos Despesa"</a:t>
          </a:r>
        </a:p>
      </xdr:txBody>
    </xdr:sp>
    <xdr:clientData/>
  </xdr:twoCellAnchor>
  <xdr:twoCellAnchor>
    <xdr:from>
      <xdr:col>2</xdr:col>
      <xdr:colOff>1050019</xdr:colOff>
      <xdr:row>67</xdr:row>
      <xdr:rowOff>0</xdr:rowOff>
    </xdr:from>
    <xdr:to>
      <xdr:col>3</xdr:col>
      <xdr:colOff>1087439</xdr:colOff>
      <xdr:row>71</xdr:row>
      <xdr:rowOff>176893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31069" y="12763500"/>
          <a:ext cx="608920" cy="938893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Ir apra aba </a:t>
          </a:r>
        </a:p>
        <a:p>
          <a:pPr algn="ctr"/>
          <a:r>
            <a:rPr lang="pt-BR" sz="1600" b="1"/>
            <a:t>"Geral"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67</xdr:row>
      <xdr:rowOff>0</xdr:rowOff>
    </xdr:from>
    <xdr:to>
      <xdr:col>1</xdr:col>
      <xdr:colOff>1240971</xdr:colOff>
      <xdr:row>71</xdr:row>
      <xdr:rowOff>176893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11188" y="11961813"/>
          <a:ext cx="1240971" cy="9071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Ir para aba </a:t>
          </a:r>
        </a:p>
        <a:p>
          <a:pPr algn="ctr"/>
          <a:r>
            <a:rPr lang="pt-BR" sz="1400" b="1"/>
            <a:t>"Gráficos Despesa"</a:t>
          </a:r>
        </a:p>
      </xdr:txBody>
    </xdr:sp>
    <xdr:clientData/>
  </xdr:twoCellAnchor>
  <xdr:twoCellAnchor>
    <xdr:from>
      <xdr:col>2</xdr:col>
      <xdr:colOff>1050019</xdr:colOff>
      <xdr:row>67</xdr:row>
      <xdr:rowOff>0</xdr:rowOff>
    </xdr:from>
    <xdr:to>
      <xdr:col>3</xdr:col>
      <xdr:colOff>1087439</xdr:colOff>
      <xdr:row>71</xdr:row>
      <xdr:rowOff>176893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042332" y="11961813"/>
          <a:ext cx="1251857" cy="907143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Ir apra aba </a:t>
          </a:r>
        </a:p>
        <a:p>
          <a:pPr algn="ctr"/>
          <a:r>
            <a:rPr lang="pt-BR" sz="1600" b="1"/>
            <a:t>"Geral"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67</xdr:row>
      <xdr:rowOff>0</xdr:rowOff>
    </xdr:from>
    <xdr:to>
      <xdr:col>1</xdr:col>
      <xdr:colOff>1240971</xdr:colOff>
      <xdr:row>72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07786" y="11901714"/>
          <a:ext cx="1240971" cy="9071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Ir para aba </a:t>
          </a:r>
        </a:p>
        <a:p>
          <a:pPr algn="ctr"/>
          <a:r>
            <a:rPr lang="pt-BR" sz="1400" b="1"/>
            <a:t>"Gráficos Despesa"</a:t>
          </a:r>
        </a:p>
      </xdr:txBody>
    </xdr:sp>
    <xdr:clientData/>
  </xdr:twoCellAnchor>
  <xdr:twoCellAnchor>
    <xdr:from>
      <xdr:col>2</xdr:col>
      <xdr:colOff>1088573</xdr:colOff>
      <xdr:row>67</xdr:row>
      <xdr:rowOff>0</xdr:rowOff>
    </xdr:from>
    <xdr:to>
      <xdr:col>3</xdr:col>
      <xdr:colOff>1143001</xdr:colOff>
      <xdr:row>72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3038930" y="11901714"/>
          <a:ext cx="1251857" cy="907143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Ir apra aba </a:t>
          </a:r>
        </a:p>
        <a:p>
          <a:pPr algn="ctr"/>
          <a:r>
            <a:rPr lang="pt-BR" sz="1600" b="1"/>
            <a:t>"Geral"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67</xdr:row>
      <xdr:rowOff>0</xdr:rowOff>
    </xdr:from>
    <xdr:to>
      <xdr:col>1</xdr:col>
      <xdr:colOff>1240971</xdr:colOff>
      <xdr:row>71</xdr:row>
      <xdr:rowOff>176893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11188" y="11961813"/>
          <a:ext cx="1240971" cy="9071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Ir para aba </a:t>
          </a:r>
        </a:p>
        <a:p>
          <a:pPr algn="ctr"/>
          <a:r>
            <a:rPr lang="pt-BR" sz="1400" b="1"/>
            <a:t>"Gráficos Despesa"</a:t>
          </a:r>
        </a:p>
      </xdr:txBody>
    </xdr:sp>
    <xdr:clientData/>
  </xdr:twoCellAnchor>
  <xdr:twoCellAnchor>
    <xdr:from>
      <xdr:col>2</xdr:col>
      <xdr:colOff>764269</xdr:colOff>
      <xdr:row>67</xdr:row>
      <xdr:rowOff>0</xdr:rowOff>
    </xdr:from>
    <xdr:to>
      <xdr:col>3</xdr:col>
      <xdr:colOff>801689</xdr:colOff>
      <xdr:row>71</xdr:row>
      <xdr:rowOff>176893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042332" y="11961813"/>
          <a:ext cx="1251857" cy="907143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Ir apra aba </a:t>
          </a:r>
        </a:p>
        <a:p>
          <a:pPr algn="ctr"/>
          <a:r>
            <a:rPr lang="pt-BR" sz="1600" b="1"/>
            <a:t>"Geral"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67</xdr:row>
      <xdr:rowOff>0</xdr:rowOff>
    </xdr:from>
    <xdr:to>
      <xdr:col>2</xdr:col>
      <xdr:colOff>294821</xdr:colOff>
      <xdr:row>71</xdr:row>
      <xdr:rowOff>170543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09600" y="12045950"/>
          <a:ext cx="1240971" cy="9071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Ir para aba </a:t>
          </a:r>
        </a:p>
        <a:p>
          <a:pPr algn="ctr"/>
          <a:r>
            <a:rPr lang="pt-BR" sz="1400" b="1"/>
            <a:t>"Gráficos Despesa"</a:t>
          </a:r>
        </a:p>
      </xdr:txBody>
    </xdr:sp>
    <xdr:clientData/>
  </xdr:twoCellAnchor>
  <xdr:twoCellAnchor>
    <xdr:from>
      <xdr:col>3</xdr:col>
      <xdr:colOff>297544</xdr:colOff>
      <xdr:row>67</xdr:row>
      <xdr:rowOff>0</xdr:rowOff>
    </xdr:from>
    <xdr:to>
      <xdr:col>4</xdr:col>
      <xdr:colOff>298451</xdr:colOff>
      <xdr:row>71</xdr:row>
      <xdr:rowOff>170543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040744" y="12045950"/>
          <a:ext cx="1251857" cy="907143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Ir apra aba </a:t>
          </a:r>
        </a:p>
        <a:p>
          <a:pPr algn="ctr"/>
          <a:r>
            <a:rPr lang="pt-BR" sz="1600" b="1"/>
            <a:t>"Geral"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67</xdr:row>
      <xdr:rowOff>0</xdr:rowOff>
    </xdr:from>
    <xdr:to>
      <xdr:col>1</xdr:col>
      <xdr:colOff>1240971</xdr:colOff>
      <xdr:row>71</xdr:row>
      <xdr:rowOff>176893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11188" y="11961813"/>
          <a:ext cx="1240971" cy="9071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Ir para aba </a:t>
          </a:r>
        </a:p>
        <a:p>
          <a:pPr algn="ctr"/>
          <a:r>
            <a:rPr lang="pt-BR" sz="1400" b="1"/>
            <a:t>"Gráficos Despesa"</a:t>
          </a:r>
        </a:p>
      </xdr:txBody>
    </xdr:sp>
    <xdr:clientData/>
  </xdr:twoCellAnchor>
  <xdr:twoCellAnchor>
    <xdr:from>
      <xdr:col>2</xdr:col>
      <xdr:colOff>1097644</xdr:colOff>
      <xdr:row>67</xdr:row>
      <xdr:rowOff>0</xdr:rowOff>
    </xdr:from>
    <xdr:to>
      <xdr:col>3</xdr:col>
      <xdr:colOff>1135064</xdr:colOff>
      <xdr:row>71</xdr:row>
      <xdr:rowOff>176893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3042332" y="11961813"/>
          <a:ext cx="1251857" cy="907143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Ir apra aba </a:t>
          </a:r>
        </a:p>
        <a:p>
          <a:pPr algn="ctr"/>
          <a:r>
            <a:rPr lang="pt-BR" sz="1600" b="1"/>
            <a:t>"Geral"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67</xdr:row>
      <xdr:rowOff>0</xdr:rowOff>
    </xdr:from>
    <xdr:to>
      <xdr:col>2</xdr:col>
      <xdr:colOff>110671</xdr:colOff>
      <xdr:row>71</xdr:row>
      <xdr:rowOff>170543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09600" y="12045950"/>
          <a:ext cx="1240971" cy="9071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Ir para aba </a:t>
          </a:r>
        </a:p>
        <a:p>
          <a:pPr algn="ctr"/>
          <a:r>
            <a:rPr lang="pt-BR" sz="1400" b="1"/>
            <a:t>"Gráficos Despesa"</a:t>
          </a:r>
        </a:p>
      </xdr:txBody>
    </xdr:sp>
    <xdr:clientData/>
  </xdr:twoCellAnchor>
  <xdr:twoCellAnchor>
    <xdr:from>
      <xdr:col>3</xdr:col>
      <xdr:colOff>113394</xdr:colOff>
      <xdr:row>67</xdr:row>
      <xdr:rowOff>0</xdr:rowOff>
    </xdr:from>
    <xdr:to>
      <xdr:col>4</xdr:col>
      <xdr:colOff>114301</xdr:colOff>
      <xdr:row>71</xdr:row>
      <xdr:rowOff>170543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040744" y="12045950"/>
          <a:ext cx="1251857" cy="907143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Ir apra aba </a:t>
          </a:r>
        </a:p>
        <a:p>
          <a:pPr algn="ctr"/>
          <a:r>
            <a:rPr lang="pt-BR" sz="1600" b="1"/>
            <a:t>"Geral"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67</xdr:row>
      <xdr:rowOff>0</xdr:rowOff>
    </xdr:from>
    <xdr:to>
      <xdr:col>2</xdr:col>
      <xdr:colOff>332921</xdr:colOff>
      <xdr:row>71</xdr:row>
      <xdr:rowOff>170543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609600" y="12045950"/>
          <a:ext cx="1240971" cy="9071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Ir para aba </a:t>
          </a:r>
        </a:p>
        <a:p>
          <a:pPr algn="ctr"/>
          <a:r>
            <a:rPr lang="pt-BR" sz="1400" b="1"/>
            <a:t>"Gráficos Despesa"</a:t>
          </a:r>
        </a:p>
      </xdr:txBody>
    </xdr:sp>
    <xdr:clientData/>
  </xdr:twoCellAnchor>
  <xdr:twoCellAnchor>
    <xdr:from>
      <xdr:col>3</xdr:col>
      <xdr:colOff>335644</xdr:colOff>
      <xdr:row>67</xdr:row>
      <xdr:rowOff>0</xdr:rowOff>
    </xdr:from>
    <xdr:to>
      <xdr:col>4</xdr:col>
      <xdr:colOff>336551</xdr:colOff>
      <xdr:row>71</xdr:row>
      <xdr:rowOff>170543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040744" y="12045950"/>
          <a:ext cx="1251857" cy="907143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Ir apra aba </a:t>
          </a:r>
        </a:p>
        <a:p>
          <a:pPr algn="ctr"/>
          <a:r>
            <a:rPr lang="pt-BR" sz="1600" b="1"/>
            <a:t>"Geral"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67</xdr:row>
      <xdr:rowOff>0</xdr:rowOff>
    </xdr:from>
    <xdr:to>
      <xdr:col>1</xdr:col>
      <xdr:colOff>1240971</xdr:colOff>
      <xdr:row>71</xdr:row>
      <xdr:rowOff>170543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9600" y="12045950"/>
          <a:ext cx="1240971" cy="9071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Ir para aba </a:t>
          </a:r>
        </a:p>
        <a:p>
          <a:pPr algn="ctr"/>
          <a:r>
            <a:rPr lang="pt-BR" sz="1400" b="1"/>
            <a:t>"Gráficos Despesa"</a:t>
          </a:r>
        </a:p>
      </xdr:txBody>
    </xdr:sp>
    <xdr:clientData/>
  </xdr:twoCellAnchor>
  <xdr:twoCellAnchor>
    <xdr:from>
      <xdr:col>2</xdr:col>
      <xdr:colOff>1046844</xdr:colOff>
      <xdr:row>67</xdr:row>
      <xdr:rowOff>0</xdr:rowOff>
    </xdr:from>
    <xdr:to>
      <xdr:col>3</xdr:col>
      <xdr:colOff>1111251</xdr:colOff>
      <xdr:row>71</xdr:row>
      <xdr:rowOff>170543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3040744" y="12045950"/>
          <a:ext cx="1251857" cy="907143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Ir apra aba </a:t>
          </a:r>
        </a:p>
        <a:p>
          <a:pPr algn="ctr"/>
          <a:r>
            <a:rPr lang="pt-BR" sz="1600" b="1"/>
            <a:t>"Geral"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67</xdr:row>
      <xdr:rowOff>0</xdr:rowOff>
    </xdr:from>
    <xdr:to>
      <xdr:col>1</xdr:col>
      <xdr:colOff>1240971</xdr:colOff>
      <xdr:row>71</xdr:row>
      <xdr:rowOff>170543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609600" y="12045950"/>
          <a:ext cx="1240971" cy="9071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Ir para aba </a:t>
          </a:r>
        </a:p>
        <a:p>
          <a:pPr algn="ctr"/>
          <a:r>
            <a:rPr lang="pt-BR" sz="1400" b="1"/>
            <a:t>"Gráficos Despesa"</a:t>
          </a:r>
        </a:p>
      </xdr:txBody>
    </xdr:sp>
    <xdr:clientData/>
  </xdr:twoCellAnchor>
  <xdr:twoCellAnchor>
    <xdr:from>
      <xdr:col>2</xdr:col>
      <xdr:colOff>1078594</xdr:colOff>
      <xdr:row>67</xdr:row>
      <xdr:rowOff>0</xdr:rowOff>
    </xdr:from>
    <xdr:to>
      <xdr:col>3</xdr:col>
      <xdr:colOff>1143001</xdr:colOff>
      <xdr:row>71</xdr:row>
      <xdr:rowOff>170543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040744" y="12045950"/>
          <a:ext cx="1251857" cy="907143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Ir apra aba </a:t>
          </a:r>
        </a:p>
        <a:p>
          <a:pPr algn="ctr"/>
          <a:r>
            <a:rPr lang="pt-BR" sz="1600" b="1"/>
            <a:t>"Geral"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67</xdr:row>
      <xdr:rowOff>0</xdr:rowOff>
    </xdr:from>
    <xdr:to>
      <xdr:col>1</xdr:col>
      <xdr:colOff>1240971</xdr:colOff>
      <xdr:row>71</xdr:row>
      <xdr:rowOff>170543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609600" y="12045950"/>
          <a:ext cx="1240971" cy="9071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Ir para aba </a:t>
          </a:r>
        </a:p>
        <a:p>
          <a:pPr algn="ctr"/>
          <a:r>
            <a:rPr lang="pt-BR" sz="1400" b="1"/>
            <a:t>"Gráficos Despesa"</a:t>
          </a:r>
        </a:p>
      </xdr:txBody>
    </xdr:sp>
    <xdr:clientData/>
  </xdr:twoCellAnchor>
  <xdr:twoCellAnchor>
    <xdr:from>
      <xdr:col>2</xdr:col>
      <xdr:colOff>1021444</xdr:colOff>
      <xdr:row>67</xdr:row>
      <xdr:rowOff>0</xdr:rowOff>
    </xdr:from>
    <xdr:to>
      <xdr:col>3</xdr:col>
      <xdr:colOff>1085851</xdr:colOff>
      <xdr:row>71</xdr:row>
      <xdr:rowOff>170543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040744" y="12045950"/>
          <a:ext cx="1251857" cy="907143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Ir apra aba </a:t>
          </a:r>
        </a:p>
        <a:p>
          <a:pPr algn="ctr"/>
          <a:r>
            <a:rPr lang="pt-BR" sz="1600" b="1"/>
            <a:t>"Geral"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67</xdr:row>
      <xdr:rowOff>0</xdr:rowOff>
    </xdr:from>
    <xdr:to>
      <xdr:col>1</xdr:col>
      <xdr:colOff>1240971</xdr:colOff>
      <xdr:row>71</xdr:row>
      <xdr:rowOff>176893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611188" y="11961813"/>
          <a:ext cx="1240971" cy="9071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Ir para aba </a:t>
          </a:r>
        </a:p>
        <a:p>
          <a:pPr algn="ctr"/>
          <a:r>
            <a:rPr lang="pt-BR" sz="1400" b="1"/>
            <a:t>"Gráficos Despesa"</a:t>
          </a:r>
        </a:p>
      </xdr:txBody>
    </xdr:sp>
    <xdr:clientData/>
  </xdr:twoCellAnchor>
  <xdr:twoCellAnchor>
    <xdr:from>
      <xdr:col>2</xdr:col>
      <xdr:colOff>1073832</xdr:colOff>
      <xdr:row>67</xdr:row>
      <xdr:rowOff>0</xdr:rowOff>
    </xdr:from>
    <xdr:to>
      <xdr:col>3</xdr:col>
      <xdr:colOff>1135064</xdr:colOff>
      <xdr:row>71</xdr:row>
      <xdr:rowOff>176893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042332" y="11961813"/>
          <a:ext cx="1251857" cy="907143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Ir apra aba </a:t>
          </a:r>
        </a:p>
        <a:p>
          <a:pPr algn="ctr"/>
          <a:r>
            <a:rPr lang="pt-BR" sz="1600" b="1"/>
            <a:t>"Geral"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AH159"/>
  <sheetViews>
    <sheetView showGridLines="0" showRowColHeaders="0" zoomScale="90" zoomScaleNormal="90" workbookViewId="0">
      <pane xSplit="5" ySplit="3" topLeftCell="F4" activePane="bottomRight" state="frozen"/>
      <selection pane="topRight" activeCell="F1" sqref="F1"/>
      <selection pane="bottomLeft" activeCell="A3" sqref="A3"/>
      <selection pane="bottomRight"/>
    </sheetView>
  </sheetViews>
  <sheetFormatPr defaultRowHeight="15"/>
  <cols>
    <col min="1" max="1" width="4.85546875" customWidth="1"/>
    <col min="2" max="2" width="8.5703125" bestFit="1" customWidth="1"/>
    <col min="3" max="3" width="12.42578125" customWidth="1"/>
    <col min="4" max="4" width="13.42578125" style="133" customWidth="1"/>
    <col min="5" max="5" width="46.28515625" bestFit="1" customWidth="1"/>
    <col min="6" max="6" width="13.42578125" bestFit="1" customWidth="1"/>
    <col min="7" max="10" width="13.85546875" bestFit="1" customWidth="1"/>
    <col min="11" max="13" width="13.42578125" bestFit="1" customWidth="1"/>
    <col min="14" max="17" width="13.85546875" bestFit="1" customWidth="1"/>
    <col min="18" max="18" width="15" bestFit="1" customWidth="1"/>
    <col min="21" max="21" width="16.85546875" bestFit="1" customWidth="1"/>
    <col min="22" max="24" width="10.5703125" bestFit="1" customWidth="1"/>
    <col min="25" max="25" width="9.140625" bestFit="1" customWidth="1"/>
    <col min="26" max="26" width="10.140625" bestFit="1" customWidth="1"/>
    <col min="27" max="27" width="9.140625" bestFit="1" customWidth="1"/>
    <col min="28" max="28" width="10.140625" bestFit="1" customWidth="1"/>
    <col min="29" max="29" width="9.140625" bestFit="1" customWidth="1"/>
    <col min="30" max="30" width="18.42578125" bestFit="1" customWidth="1"/>
    <col min="31" max="31" width="9.140625" bestFit="1" customWidth="1"/>
    <col min="32" max="32" width="10.140625" bestFit="1" customWidth="1"/>
    <col min="34" max="34" width="12.140625" bestFit="1" customWidth="1"/>
  </cols>
  <sheetData>
    <row r="1" spans="1:32">
      <c r="C1" s="242"/>
      <c r="D1" t="s">
        <v>212</v>
      </c>
    </row>
    <row r="3" spans="1:32" ht="15.75" thickBot="1">
      <c r="A3" s="2"/>
      <c r="B3" s="37"/>
      <c r="C3" s="37"/>
      <c r="D3" s="128"/>
      <c r="E3" s="46" t="s">
        <v>74</v>
      </c>
      <c r="F3" s="46" t="s">
        <v>0</v>
      </c>
      <c r="G3" s="46" t="s">
        <v>1</v>
      </c>
      <c r="H3" s="46" t="s">
        <v>2</v>
      </c>
      <c r="I3" s="46" t="s">
        <v>3</v>
      </c>
      <c r="J3" s="46" t="s">
        <v>4</v>
      </c>
      <c r="K3" s="46" t="s">
        <v>5</v>
      </c>
      <c r="L3" s="46" t="s">
        <v>6</v>
      </c>
      <c r="M3" s="46" t="s">
        <v>7</v>
      </c>
      <c r="N3" s="46" t="s">
        <v>8</v>
      </c>
      <c r="O3" s="46" t="s">
        <v>9</v>
      </c>
      <c r="P3" s="46" t="s">
        <v>10</v>
      </c>
      <c r="Q3" s="46" t="s">
        <v>11</v>
      </c>
      <c r="R3" s="46" t="s">
        <v>92</v>
      </c>
    </row>
    <row r="4" spans="1:32" ht="14.45" customHeight="1">
      <c r="A4" s="1"/>
      <c r="B4" s="283" t="s">
        <v>120</v>
      </c>
      <c r="C4" s="284"/>
      <c r="D4" s="284"/>
      <c r="E4" s="156" t="s">
        <v>119</v>
      </c>
      <c r="F4" s="137">
        <f>Receita!E9</f>
        <v>0</v>
      </c>
      <c r="G4" s="137">
        <f>Receita!F9</f>
        <v>0</v>
      </c>
      <c r="H4" s="137">
        <f>Receita!G9</f>
        <v>0</v>
      </c>
      <c r="I4" s="137">
        <f>Receita!H9</f>
        <v>0</v>
      </c>
      <c r="J4" s="137">
        <f>Receita!I9</f>
        <v>0</v>
      </c>
      <c r="K4" s="137">
        <f>Receita!J9</f>
        <v>0</v>
      </c>
      <c r="L4" s="137">
        <f>Receita!K9</f>
        <v>0</v>
      </c>
      <c r="M4" s="137">
        <f>Receita!L9</f>
        <v>0</v>
      </c>
      <c r="N4" s="137">
        <f>Receita!M9</f>
        <v>0</v>
      </c>
      <c r="O4" s="137">
        <f>Receita!N9</f>
        <v>0</v>
      </c>
      <c r="P4" s="137">
        <f>Receita!O9</f>
        <v>0</v>
      </c>
      <c r="Q4" s="137">
        <f>Receita!P9</f>
        <v>0</v>
      </c>
      <c r="R4" s="154">
        <f>SUM(F4:Q4)</f>
        <v>0</v>
      </c>
      <c r="V4" s="7"/>
      <c r="W4" s="7"/>
      <c r="X4" s="7"/>
      <c r="Y4" s="7"/>
      <c r="Z4" s="7"/>
      <c r="AA4" s="7"/>
      <c r="AB4" s="7"/>
      <c r="AC4" s="7"/>
      <c r="AD4" s="7"/>
      <c r="AE4" s="7"/>
      <c r="AF4" s="7"/>
    </row>
    <row r="5" spans="1:32" ht="14.45" customHeight="1">
      <c r="B5" s="285"/>
      <c r="C5" s="286"/>
      <c r="D5" s="286"/>
      <c r="E5" s="157" t="s">
        <v>114</v>
      </c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155">
        <f>SUM(F5:Q5)</f>
        <v>0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ht="17.100000000000001" customHeight="1" thickBot="1">
      <c r="B6" s="287"/>
      <c r="C6" s="288"/>
      <c r="D6" s="288"/>
      <c r="E6" s="158" t="s">
        <v>112</v>
      </c>
      <c r="F6" s="115" t="str">
        <f t="shared" ref="F6:R6" si="0">IFERROR(F4/F5,"")</f>
        <v/>
      </c>
      <c r="G6" s="115" t="str">
        <f t="shared" si="0"/>
        <v/>
      </c>
      <c r="H6" s="115" t="str">
        <f t="shared" si="0"/>
        <v/>
      </c>
      <c r="I6" s="115" t="str">
        <f t="shared" si="0"/>
        <v/>
      </c>
      <c r="J6" s="115" t="str">
        <f t="shared" si="0"/>
        <v/>
      </c>
      <c r="K6" s="115" t="str">
        <f t="shared" si="0"/>
        <v/>
      </c>
      <c r="L6" s="115" t="str">
        <f t="shared" si="0"/>
        <v/>
      </c>
      <c r="M6" s="115" t="str">
        <f t="shared" si="0"/>
        <v/>
      </c>
      <c r="N6" s="115" t="str">
        <f t="shared" si="0"/>
        <v/>
      </c>
      <c r="O6" s="115" t="str">
        <f t="shared" si="0"/>
        <v/>
      </c>
      <c r="P6" s="115" t="str">
        <f t="shared" si="0"/>
        <v/>
      </c>
      <c r="Q6" s="115" t="str">
        <f t="shared" si="0"/>
        <v/>
      </c>
      <c r="R6" s="116" t="str">
        <f t="shared" si="0"/>
        <v/>
      </c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s="38" customFormat="1" ht="15" customHeight="1" thickBot="1">
      <c r="A7" s="150"/>
      <c r="B7" s="149"/>
      <c r="C7" s="149"/>
      <c r="D7" s="149"/>
      <c r="E7" s="151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87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</row>
    <row r="8" spans="1:32">
      <c r="A8" s="2"/>
      <c r="B8" s="315" t="s">
        <v>102</v>
      </c>
      <c r="C8" s="295" t="s">
        <v>185</v>
      </c>
      <c r="D8" s="289" t="s">
        <v>22</v>
      </c>
      <c r="E8" s="153" t="s">
        <v>94</v>
      </c>
      <c r="F8" s="137">
        <f>'Despesa Fixa'!E15</f>
        <v>0</v>
      </c>
      <c r="G8" s="137">
        <f>'Despesa Fixa'!F15</f>
        <v>0</v>
      </c>
      <c r="H8" s="137">
        <f>'Despesa Fixa'!G15</f>
        <v>0</v>
      </c>
      <c r="I8" s="137">
        <f>'Despesa Fixa'!H15</f>
        <v>0</v>
      </c>
      <c r="J8" s="137">
        <f>'Despesa Fixa'!I15</f>
        <v>0</v>
      </c>
      <c r="K8" s="137">
        <f>'Despesa Fixa'!J15</f>
        <v>0</v>
      </c>
      <c r="L8" s="137">
        <f>'Despesa Fixa'!K15</f>
        <v>0</v>
      </c>
      <c r="M8" s="137">
        <f>'Despesa Fixa'!L15</f>
        <v>0</v>
      </c>
      <c r="N8" s="137">
        <f>'Despesa Fixa'!M15</f>
        <v>0</v>
      </c>
      <c r="O8" s="137">
        <f>'Despesa Fixa'!N15</f>
        <v>0</v>
      </c>
      <c r="P8" s="137">
        <f>'Despesa Fixa'!O15</f>
        <v>0</v>
      </c>
      <c r="Q8" s="137">
        <f>'Despesa Fixa'!P15</f>
        <v>0</v>
      </c>
      <c r="R8" s="223">
        <f>SUM(F8:Q8)</f>
        <v>0</v>
      </c>
    </row>
    <row r="9" spans="1:32">
      <c r="A9" s="2"/>
      <c r="B9" s="316"/>
      <c r="C9" s="296"/>
      <c r="D9" s="290"/>
      <c r="E9" s="95" t="s">
        <v>188</v>
      </c>
      <c r="F9" s="117" t="str">
        <f t="shared" ref="F9:R9" si="1">IFERROR(F8/F$4,"")</f>
        <v/>
      </c>
      <c r="G9" s="117" t="str">
        <f t="shared" si="1"/>
        <v/>
      </c>
      <c r="H9" s="117" t="str">
        <f t="shared" si="1"/>
        <v/>
      </c>
      <c r="I9" s="117" t="str">
        <f t="shared" si="1"/>
        <v/>
      </c>
      <c r="J9" s="117" t="str">
        <f t="shared" si="1"/>
        <v/>
      </c>
      <c r="K9" s="117" t="str">
        <f t="shared" si="1"/>
        <v/>
      </c>
      <c r="L9" s="117" t="str">
        <f t="shared" si="1"/>
        <v/>
      </c>
      <c r="M9" s="117" t="str">
        <f t="shared" si="1"/>
        <v/>
      </c>
      <c r="N9" s="117" t="str">
        <f t="shared" si="1"/>
        <v/>
      </c>
      <c r="O9" s="117" t="str">
        <f t="shared" si="1"/>
        <v/>
      </c>
      <c r="P9" s="117" t="str">
        <f t="shared" si="1"/>
        <v/>
      </c>
      <c r="Q9" s="117" t="str">
        <f t="shared" si="1"/>
        <v/>
      </c>
      <c r="R9" s="118" t="str">
        <f t="shared" si="1"/>
        <v/>
      </c>
    </row>
    <row r="10" spans="1:32">
      <c r="A10" s="2"/>
      <c r="B10" s="316"/>
      <c r="C10" s="296"/>
      <c r="D10" s="290"/>
      <c r="E10" s="101" t="s">
        <v>111</v>
      </c>
      <c r="F10" s="239"/>
      <c r="G10" s="239"/>
      <c r="H10" s="239"/>
      <c r="I10" s="239"/>
      <c r="J10" s="239"/>
      <c r="K10" s="239"/>
      <c r="L10" s="239"/>
      <c r="M10" s="239"/>
      <c r="N10" s="239"/>
      <c r="O10" s="239"/>
      <c r="P10" s="239"/>
      <c r="Q10" s="239"/>
      <c r="R10" s="102">
        <f>SUM(F10:Q10)</f>
        <v>0</v>
      </c>
    </row>
    <row r="11" spans="1:32" ht="15.75" thickBot="1">
      <c r="A11" s="2"/>
      <c r="B11" s="316"/>
      <c r="C11" s="296"/>
      <c r="D11" s="291"/>
      <c r="E11" s="103" t="s">
        <v>113</v>
      </c>
      <c r="F11" s="115" t="str">
        <f t="shared" ref="F11:R11" si="2">IFERROR(F8/F10,"")</f>
        <v/>
      </c>
      <c r="G11" s="115" t="str">
        <f t="shared" si="2"/>
        <v/>
      </c>
      <c r="H11" s="115" t="str">
        <f t="shared" si="2"/>
        <v/>
      </c>
      <c r="I11" s="115" t="str">
        <f t="shared" si="2"/>
        <v/>
      </c>
      <c r="J11" s="115" t="str">
        <f t="shared" si="2"/>
        <v/>
      </c>
      <c r="K11" s="115" t="str">
        <f t="shared" si="2"/>
        <v/>
      </c>
      <c r="L11" s="115" t="str">
        <f t="shared" si="2"/>
        <v/>
      </c>
      <c r="M11" s="115" t="str">
        <f t="shared" si="2"/>
        <v/>
      </c>
      <c r="N11" s="115" t="str">
        <f t="shared" si="2"/>
        <v/>
      </c>
      <c r="O11" s="115" t="str">
        <f t="shared" si="2"/>
        <v/>
      </c>
      <c r="P11" s="115" t="str">
        <f t="shared" si="2"/>
        <v/>
      </c>
      <c r="Q11" s="115" t="str">
        <f t="shared" si="2"/>
        <v/>
      </c>
      <c r="R11" s="116" t="str">
        <f t="shared" si="2"/>
        <v/>
      </c>
    </row>
    <row r="12" spans="1:32" ht="6.95" customHeight="1" thickBot="1">
      <c r="A12" s="2"/>
      <c r="B12" s="316"/>
      <c r="C12" s="296"/>
      <c r="D12" s="128"/>
      <c r="E12" s="49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1"/>
    </row>
    <row r="13" spans="1:32">
      <c r="A13" s="2"/>
      <c r="B13" s="316"/>
      <c r="C13" s="296"/>
      <c r="D13" s="289" t="s">
        <v>25</v>
      </c>
      <c r="E13" s="153" t="s">
        <v>115</v>
      </c>
      <c r="F13" s="137">
        <f>'Despesa Fixa'!E25</f>
        <v>0</v>
      </c>
      <c r="G13" s="137">
        <f>'Despesa Fixa'!F25</f>
        <v>0</v>
      </c>
      <c r="H13" s="137">
        <f>'Despesa Fixa'!G25</f>
        <v>0</v>
      </c>
      <c r="I13" s="137">
        <f>'Despesa Fixa'!H25</f>
        <v>0</v>
      </c>
      <c r="J13" s="137">
        <f>'Despesa Fixa'!I25</f>
        <v>0</v>
      </c>
      <c r="K13" s="137">
        <f>'Despesa Fixa'!J25</f>
        <v>0</v>
      </c>
      <c r="L13" s="137">
        <f>'Despesa Fixa'!K25</f>
        <v>0</v>
      </c>
      <c r="M13" s="137">
        <f>'Despesa Fixa'!L25</f>
        <v>0</v>
      </c>
      <c r="N13" s="137">
        <f>'Despesa Fixa'!M25</f>
        <v>0</v>
      </c>
      <c r="O13" s="137">
        <f>'Despesa Fixa'!N25</f>
        <v>0</v>
      </c>
      <c r="P13" s="137">
        <f>'Despesa Fixa'!O25</f>
        <v>0</v>
      </c>
      <c r="Q13" s="137">
        <f>'Despesa Fixa'!P25</f>
        <v>0</v>
      </c>
      <c r="R13" s="138">
        <f>SUM(F13:Q13)</f>
        <v>0</v>
      </c>
    </row>
    <row r="14" spans="1:32">
      <c r="A14" s="2"/>
      <c r="B14" s="316"/>
      <c r="C14" s="296"/>
      <c r="D14" s="290"/>
      <c r="E14" s="95" t="s">
        <v>189</v>
      </c>
      <c r="F14" s="117" t="str">
        <f t="shared" ref="F14:R14" si="3">IFERROR(F13/F$4,"")</f>
        <v/>
      </c>
      <c r="G14" s="117" t="str">
        <f t="shared" si="3"/>
        <v/>
      </c>
      <c r="H14" s="117" t="str">
        <f t="shared" si="3"/>
        <v/>
      </c>
      <c r="I14" s="117" t="str">
        <f t="shared" si="3"/>
        <v/>
      </c>
      <c r="J14" s="117" t="str">
        <f t="shared" si="3"/>
        <v/>
      </c>
      <c r="K14" s="117" t="str">
        <f t="shared" si="3"/>
        <v/>
      </c>
      <c r="L14" s="117" t="str">
        <f t="shared" si="3"/>
        <v/>
      </c>
      <c r="M14" s="117" t="str">
        <f t="shared" si="3"/>
        <v/>
      </c>
      <c r="N14" s="117" t="str">
        <f t="shared" si="3"/>
        <v/>
      </c>
      <c r="O14" s="117" t="str">
        <f t="shared" si="3"/>
        <v/>
      </c>
      <c r="P14" s="117" t="str">
        <f t="shared" si="3"/>
        <v/>
      </c>
      <c r="Q14" s="117" t="str">
        <f t="shared" si="3"/>
        <v/>
      </c>
      <c r="R14" s="118" t="str">
        <f t="shared" si="3"/>
        <v/>
      </c>
    </row>
    <row r="15" spans="1:32">
      <c r="A15" s="2"/>
      <c r="B15" s="316"/>
      <c r="C15" s="296"/>
      <c r="D15" s="290"/>
      <c r="E15" s="101" t="s">
        <v>111</v>
      </c>
      <c r="F15" s="239"/>
      <c r="G15" s="239"/>
      <c r="H15" s="239"/>
      <c r="I15" s="239"/>
      <c r="J15" s="239"/>
      <c r="K15" s="239"/>
      <c r="L15" s="239"/>
      <c r="M15" s="239"/>
      <c r="N15" s="239"/>
      <c r="O15" s="239"/>
      <c r="P15" s="239"/>
      <c r="Q15" s="239"/>
      <c r="R15" s="102">
        <f>SUM(F15:Q15)</f>
        <v>0</v>
      </c>
    </row>
    <row r="16" spans="1:32" ht="15.75" thickBot="1">
      <c r="A16" s="2"/>
      <c r="B16" s="316"/>
      <c r="C16" s="296"/>
      <c r="D16" s="291"/>
      <c r="E16" s="103" t="s">
        <v>113</v>
      </c>
      <c r="F16" s="115" t="str">
        <f t="shared" ref="F16:R16" si="4">IFERROR(F13/F15,"")</f>
        <v/>
      </c>
      <c r="G16" s="115" t="str">
        <f t="shared" si="4"/>
        <v/>
      </c>
      <c r="H16" s="115" t="str">
        <f t="shared" si="4"/>
        <v/>
      </c>
      <c r="I16" s="115" t="str">
        <f t="shared" si="4"/>
        <v/>
      </c>
      <c r="J16" s="115" t="str">
        <f t="shared" si="4"/>
        <v/>
      </c>
      <c r="K16" s="115" t="str">
        <f t="shared" si="4"/>
        <v/>
      </c>
      <c r="L16" s="115" t="str">
        <f t="shared" si="4"/>
        <v/>
      </c>
      <c r="M16" s="115" t="str">
        <f t="shared" si="4"/>
        <v/>
      </c>
      <c r="N16" s="115" t="str">
        <f t="shared" si="4"/>
        <v/>
      </c>
      <c r="O16" s="115" t="str">
        <f t="shared" si="4"/>
        <v/>
      </c>
      <c r="P16" s="115" t="str">
        <f t="shared" si="4"/>
        <v/>
      </c>
      <c r="Q16" s="115" t="str">
        <f t="shared" si="4"/>
        <v/>
      </c>
      <c r="R16" s="116" t="str">
        <f t="shared" si="4"/>
        <v/>
      </c>
    </row>
    <row r="17" spans="1:34" ht="6.95" customHeight="1" thickBot="1">
      <c r="A17" s="2"/>
      <c r="B17" s="316"/>
      <c r="C17" s="296"/>
      <c r="D17" s="128"/>
      <c r="E17" s="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0"/>
      <c r="Q17" s="50"/>
      <c r="R17" s="51"/>
    </row>
    <row r="18" spans="1:34">
      <c r="A18" s="2"/>
      <c r="B18" s="316"/>
      <c r="C18" s="296"/>
      <c r="D18" s="292" t="s">
        <v>23</v>
      </c>
      <c r="E18" s="139" t="s">
        <v>95</v>
      </c>
      <c r="F18" s="137">
        <f>'Despesa Fixa'!E31</f>
        <v>0</v>
      </c>
      <c r="G18" s="137">
        <f>'Despesa Fixa'!F31</f>
        <v>0</v>
      </c>
      <c r="H18" s="137">
        <f>'Despesa Fixa'!G31</f>
        <v>0</v>
      </c>
      <c r="I18" s="137">
        <f>'Despesa Fixa'!H31</f>
        <v>0</v>
      </c>
      <c r="J18" s="137">
        <f>'Despesa Fixa'!I31</f>
        <v>0</v>
      </c>
      <c r="K18" s="137">
        <f>'Despesa Fixa'!J31</f>
        <v>0</v>
      </c>
      <c r="L18" s="137">
        <f>'Despesa Fixa'!K31</f>
        <v>0</v>
      </c>
      <c r="M18" s="137">
        <f>'Despesa Fixa'!L31</f>
        <v>0</v>
      </c>
      <c r="N18" s="137">
        <f>'Despesa Fixa'!M31</f>
        <v>0</v>
      </c>
      <c r="O18" s="137">
        <f>'Despesa Fixa'!N31</f>
        <v>0</v>
      </c>
      <c r="P18" s="137">
        <f>'Despesa Fixa'!O31</f>
        <v>0</v>
      </c>
      <c r="Q18" s="137">
        <f>'Despesa Fixa'!P31</f>
        <v>0</v>
      </c>
      <c r="R18" s="138">
        <f t="shared" ref="R18" si="5">SUM(F18:Q18)</f>
        <v>0</v>
      </c>
    </row>
    <row r="19" spans="1:34">
      <c r="A19" s="2"/>
      <c r="B19" s="316"/>
      <c r="C19" s="296"/>
      <c r="D19" s="293"/>
      <c r="E19" s="95" t="s">
        <v>190</v>
      </c>
      <c r="F19" s="117" t="str">
        <f t="shared" ref="F19:R19" si="6">IFERROR(F18/F$4,"")</f>
        <v/>
      </c>
      <c r="G19" s="117" t="str">
        <f t="shared" si="6"/>
        <v/>
      </c>
      <c r="H19" s="117" t="str">
        <f t="shared" si="6"/>
        <v/>
      </c>
      <c r="I19" s="117" t="str">
        <f t="shared" si="6"/>
        <v/>
      </c>
      <c r="J19" s="117" t="str">
        <f t="shared" si="6"/>
        <v/>
      </c>
      <c r="K19" s="117" t="str">
        <f t="shared" si="6"/>
        <v/>
      </c>
      <c r="L19" s="117" t="str">
        <f t="shared" si="6"/>
        <v/>
      </c>
      <c r="M19" s="117" t="str">
        <f t="shared" si="6"/>
        <v/>
      </c>
      <c r="N19" s="117" t="str">
        <f t="shared" si="6"/>
        <v/>
      </c>
      <c r="O19" s="117" t="str">
        <f t="shared" si="6"/>
        <v/>
      </c>
      <c r="P19" s="117" t="str">
        <f t="shared" si="6"/>
        <v/>
      </c>
      <c r="Q19" s="117" t="str">
        <f t="shared" si="6"/>
        <v/>
      </c>
      <c r="R19" s="117" t="str">
        <f t="shared" si="6"/>
        <v/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>
      <c r="A20" s="2"/>
      <c r="B20" s="316"/>
      <c r="C20" s="296"/>
      <c r="D20" s="293"/>
      <c r="E20" s="101" t="s">
        <v>111</v>
      </c>
      <c r="F20" s="239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102">
        <f>SUM(F20:Q20)</f>
        <v>0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5.75" thickBot="1">
      <c r="A21" s="2"/>
      <c r="B21" s="316"/>
      <c r="C21" s="296"/>
      <c r="D21" s="294"/>
      <c r="E21" s="103" t="s">
        <v>113</v>
      </c>
      <c r="F21" s="115" t="str">
        <f t="shared" ref="F21:Q21" si="7">IFERROR(F18/F20,"")</f>
        <v/>
      </c>
      <c r="G21" s="115" t="str">
        <f t="shared" si="7"/>
        <v/>
      </c>
      <c r="H21" s="115" t="str">
        <f t="shared" si="7"/>
        <v/>
      </c>
      <c r="I21" s="115" t="str">
        <f t="shared" si="7"/>
        <v/>
      </c>
      <c r="J21" s="115" t="str">
        <f t="shared" si="7"/>
        <v/>
      </c>
      <c r="K21" s="115" t="str">
        <f t="shared" si="7"/>
        <v/>
      </c>
      <c r="L21" s="115" t="str">
        <f t="shared" si="7"/>
        <v/>
      </c>
      <c r="M21" s="115" t="str">
        <f t="shared" si="7"/>
        <v/>
      </c>
      <c r="N21" s="115" t="str">
        <f t="shared" si="7"/>
        <v/>
      </c>
      <c r="O21" s="115" t="str">
        <f t="shared" si="7"/>
        <v/>
      </c>
      <c r="P21" s="115" t="str">
        <f t="shared" si="7"/>
        <v/>
      </c>
      <c r="Q21" s="115" t="str">
        <f t="shared" si="7"/>
        <v/>
      </c>
      <c r="R21" s="116" t="str">
        <f>IFERROR(R18/R20,"")</f>
        <v/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6.6" customHeight="1" thickBot="1">
      <c r="A22" s="2"/>
      <c r="B22" s="316"/>
      <c r="C22" s="296"/>
      <c r="D22" s="129"/>
      <c r="E22" s="57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1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>
      <c r="A23" s="2"/>
      <c r="B23" s="316"/>
      <c r="C23" s="296"/>
      <c r="D23" s="292" t="s">
        <v>39</v>
      </c>
      <c r="E23" s="139" t="s">
        <v>96</v>
      </c>
      <c r="F23" s="137">
        <f>'Despesa Fixa'!E38</f>
        <v>0</v>
      </c>
      <c r="G23" s="137">
        <f>'Despesa Fixa'!F38</f>
        <v>0</v>
      </c>
      <c r="H23" s="137">
        <f>'Despesa Fixa'!G38</f>
        <v>0</v>
      </c>
      <c r="I23" s="137">
        <f>'Despesa Fixa'!H38</f>
        <v>0</v>
      </c>
      <c r="J23" s="137">
        <f>'Despesa Fixa'!I38</f>
        <v>0</v>
      </c>
      <c r="K23" s="137">
        <f>'Despesa Fixa'!J38</f>
        <v>0</v>
      </c>
      <c r="L23" s="137">
        <f>'Despesa Fixa'!K38</f>
        <v>0</v>
      </c>
      <c r="M23" s="137">
        <f>'Despesa Fixa'!L38</f>
        <v>0</v>
      </c>
      <c r="N23" s="137">
        <f>'Despesa Fixa'!M38</f>
        <v>0</v>
      </c>
      <c r="O23" s="137">
        <f>'Despesa Fixa'!N38</f>
        <v>0</v>
      </c>
      <c r="P23" s="137">
        <f>'Despesa Fixa'!O38</f>
        <v>0</v>
      </c>
      <c r="Q23" s="137">
        <f>'Despesa Fixa'!P38</f>
        <v>0</v>
      </c>
      <c r="R23" s="138">
        <f t="shared" ref="R23" si="8">SUM(F23:Q23)</f>
        <v>0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>
      <c r="A24" s="2"/>
      <c r="B24" s="316"/>
      <c r="C24" s="296"/>
      <c r="D24" s="293"/>
      <c r="E24" s="95" t="s">
        <v>191</v>
      </c>
      <c r="F24" s="117" t="str">
        <f t="shared" ref="F24:R24" si="9">IFERROR(F23/F$4,"")</f>
        <v/>
      </c>
      <c r="G24" s="117" t="str">
        <f t="shared" si="9"/>
        <v/>
      </c>
      <c r="H24" s="117" t="str">
        <f t="shared" si="9"/>
        <v/>
      </c>
      <c r="I24" s="117" t="str">
        <f t="shared" si="9"/>
        <v/>
      </c>
      <c r="J24" s="117" t="str">
        <f t="shared" si="9"/>
        <v/>
      </c>
      <c r="K24" s="117" t="str">
        <f t="shared" si="9"/>
        <v/>
      </c>
      <c r="L24" s="117" t="str">
        <f t="shared" si="9"/>
        <v/>
      </c>
      <c r="M24" s="117" t="str">
        <f t="shared" si="9"/>
        <v/>
      </c>
      <c r="N24" s="117" t="str">
        <f t="shared" si="9"/>
        <v/>
      </c>
      <c r="O24" s="117" t="str">
        <f t="shared" si="9"/>
        <v/>
      </c>
      <c r="P24" s="117" t="str">
        <f t="shared" si="9"/>
        <v/>
      </c>
      <c r="Q24" s="117" t="str">
        <f t="shared" si="9"/>
        <v/>
      </c>
      <c r="R24" s="117" t="str">
        <f t="shared" si="9"/>
        <v/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>
      <c r="A25" s="2"/>
      <c r="B25" s="316"/>
      <c r="C25" s="296"/>
      <c r="D25" s="293"/>
      <c r="E25" s="101" t="s">
        <v>111</v>
      </c>
      <c r="F25" s="239"/>
      <c r="G25" s="239"/>
      <c r="H25" s="239"/>
      <c r="I25" s="239"/>
      <c r="J25" s="239"/>
      <c r="K25" s="239"/>
      <c r="L25" s="239"/>
      <c r="M25" s="239"/>
      <c r="N25" s="239"/>
      <c r="O25" s="239"/>
      <c r="P25" s="239"/>
      <c r="Q25" s="239"/>
      <c r="R25" s="102">
        <f>SUM(F25:Q25)</f>
        <v>0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5.75" thickBot="1">
      <c r="A26" s="2"/>
      <c r="B26" s="316"/>
      <c r="C26" s="296"/>
      <c r="D26" s="294"/>
      <c r="E26" s="103" t="s">
        <v>113</v>
      </c>
      <c r="F26" s="115" t="str">
        <f t="shared" ref="F26:R26" si="10">IFERROR(F23/F25,"")</f>
        <v/>
      </c>
      <c r="G26" s="115" t="str">
        <f t="shared" si="10"/>
        <v/>
      </c>
      <c r="H26" s="115" t="str">
        <f t="shared" si="10"/>
        <v/>
      </c>
      <c r="I26" s="115" t="str">
        <f t="shared" si="10"/>
        <v/>
      </c>
      <c r="J26" s="115" t="str">
        <f t="shared" si="10"/>
        <v/>
      </c>
      <c r="K26" s="115" t="str">
        <f t="shared" si="10"/>
        <v/>
      </c>
      <c r="L26" s="115" t="str">
        <f t="shared" si="10"/>
        <v/>
      </c>
      <c r="M26" s="115" t="str">
        <f t="shared" si="10"/>
        <v/>
      </c>
      <c r="N26" s="115" t="str">
        <f t="shared" si="10"/>
        <v/>
      </c>
      <c r="O26" s="115" t="str">
        <f t="shared" si="10"/>
        <v/>
      </c>
      <c r="P26" s="115" t="str">
        <f t="shared" si="10"/>
        <v/>
      </c>
      <c r="Q26" s="115" t="str">
        <f t="shared" si="10"/>
        <v/>
      </c>
      <c r="R26" s="116" t="str">
        <f t="shared" si="10"/>
        <v/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7.5" customHeight="1" thickBot="1">
      <c r="A27" s="2"/>
      <c r="B27" s="316"/>
      <c r="C27" s="296"/>
      <c r="D27" s="130"/>
      <c r="E27" s="57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1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>
      <c r="A28" s="2"/>
      <c r="B28" s="316"/>
      <c r="C28" s="296"/>
      <c r="D28" s="292" t="s">
        <v>45</v>
      </c>
      <c r="E28" s="139" t="s">
        <v>97</v>
      </c>
      <c r="F28" s="137">
        <f>'Despesa Fixa'!E45</f>
        <v>0</v>
      </c>
      <c r="G28" s="137">
        <f>'Despesa Fixa'!F45</f>
        <v>0</v>
      </c>
      <c r="H28" s="137">
        <f>'Despesa Fixa'!G45</f>
        <v>0</v>
      </c>
      <c r="I28" s="137">
        <f>'Despesa Fixa'!H45</f>
        <v>0</v>
      </c>
      <c r="J28" s="137">
        <f>'Despesa Fixa'!I45</f>
        <v>0</v>
      </c>
      <c r="K28" s="137">
        <f>'Despesa Fixa'!J45</f>
        <v>0</v>
      </c>
      <c r="L28" s="137">
        <f>'Despesa Fixa'!K45</f>
        <v>0</v>
      </c>
      <c r="M28" s="137">
        <f>'Despesa Fixa'!L45</f>
        <v>0</v>
      </c>
      <c r="N28" s="137">
        <f>'Despesa Fixa'!M45</f>
        <v>0</v>
      </c>
      <c r="O28" s="137">
        <f>'Despesa Fixa'!N45</f>
        <v>0</v>
      </c>
      <c r="P28" s="137">
        <f>'Despesa Fixa'!O45</f>
        <v>0</v>
      </c>
      <c r="Q28" s="137">
        <f>'Despesa Fixa'!P45</f>
        <v>0</v>
      </c>
      <c r="R28" s="138">
        <f t="shared" ref="R28" si="11">SUM(F28:Q28)</f>
        <v>0</v>
      </c>
    </row>
    <row r="29" spans="1:34">
      <c r="A29" s="2"/>
      <c r="B29" s="316"/>
      <c r="C29" s="296"/>
      <c r="D29" s="293"/>
      <c r="E29" s="95" t="s">
        <v>192</v>
      </c>
      <c r="F29" s="117" t="str">
        <f t="shared" ref="F29:R29" si="12">IFERROR(F28/F$4,"")</f>
        <v/>
      </c>
      <c r="G29" s="117" t="str">
        <f t="shared" si="12"/>
        <v/>
      </c>
      <c r="H29" s="117" t="str">
        <f t="shared" si="12"/>
        <v/>
      </c>
      <c r="I29" s="117" t="str">
        <f t="shared" si="12"/>
        <v/>
      </c>
      <c r="J29" s="117" t="str">
        <f t="shared" si="12"/>
        <v/>
      </c>
      <c r="K29" s="117" t="str">
        <f t="shared" si="12"/>
        <v/>
      </c>
      <c r="L29" s="117" t="str">
        <f t="shared" si="12"/>
        <v/>
      </c>
      <c r="M29" s="117" t="str">
        <f t="shared" si="12"/>
        <v/>
      </c>
      <c r="N29" s="117" t="str">
        <f t="shared" si="12"/>
        <v/>
      </c>
      <c r="O29" s="117" t="str">
        <f t="shared" si="12"/>
        <v/>
      </c>
      <c r="P29" s="117" t="str">
        <f t="shared" si="12"/>
        <v/>
      </c>
      <c r="Q29" s="117" t="str">
        <f t="shared" si="12"/>
        <v/>
      </c>
      <c r="R29" s="117" t="str">
        <f t="shared" si="12"/>
        <v/>
      </c>
    </row>
    <row r="30" spans="1:34">
      <c r="A30" s="2"/>
      <c r="B30" s="316"/>
      <c r="C30" s="296"/>
      <c r="D30" s="293"/>
      <c r="E30" s="101" t="s">
        <v>111</v>
      </c>
      <c r="F30" s="239"/>
      <c r="G30" s="239"/>
      <c r="H30" s="239"/>
      <c r="I30" s="239"/>
      <c r="J30" s="239"/>
      <c r="K30" s="239"/>
      <c r="L30" s="239"/>
      <c r="M30" s="239"/>
      <c r="N30" s="239"/>
      <c r="O30" s="239"/>
      <c r="P30" s="239"/>
      <c r="Q30" s="239"/>
      <c r="R30" s="102">
        <f>SUM(F30:Q30)</f>
        <v>0</v>
      </c>
    </row>
    <row r="31" spans="1:34" ht="15.75" thickBot="1">
      <c r="A31" s="2"/>
      <c r="B31" s="316"/>
      <c r="C31" s="296"/>
      <c r="D31" s="294"/>
      <c r="E31" s="103" t="s">
        <v>113</v>
      </c>
      <c r="F31" s="115" t="str">
        <f t="shared" ref="F31:R31" si="13">IFERROR(F28/F30,"")</f>
        <v/>
      </c>
      <c r="G31" s="115" t="str">
        <f t="shared" si="13"/>
        <v/>
      </c>
      <c r="H31" s="115" t="str">
        <f t="shared" si="13"/>
        <v/>
      </c>
      <c r="I31" s="115" t="str">
        <f t="shared" si="13"/>
        <v/>
      </c>
      <c r="J31" s="115" t="str">
        <f t="shared" si="13"/>
        <v/>
      </c>
      <c r="K31" s="115" t="str">
        <f t="shared" si="13"/>
        <v/>
      </c>
      <c r="L31" s="115" t="str">
        <f t="shared" si="13"/>
        <v/>
      </c>
      <c r="M31" s="115" t="str">
        <f t="shared" si="13"/>
        <v/>
      </c>
      <c r="N31" s="115" t="str">
        <f t="shared" si="13"/>
        <v/>
      </c>
      <c r="O31" s="115" t="str">
        <f t="shared" si="13"/>
        <v/>
      </c>
      <c r="P31" s="115" t="str">
        <f t="shared" si="13"/>
        <v/>
      </c>
      <c r="Q31" s="115" t="str">
        <f t="shared" si="13"/>
        <v/>
      </c>
      <c r="R31" s="116" t="str">
        <f t="shared" si="13"/>
        <v/>
      </c>
    </row>
    <row r="32" spans="1:34" ht="6" customHeight="1" thickBot="1">
      <c r="A32" s="2"/>
      <c r="B32" s="316"/>
      <c r="C32" s="296"/>
      <c r="D32" s="129"/>
      <c r="E32" s="59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51"/>
    </row>
    <row r="33" spans="1:18">
      <c r="A33" s="2"/>
      <c r="B33" s="316"/>
      <c r="C33" s="296"/>
      <c r="D33" s="292" t="s">
        <v>58</v>
      </c>
      <c r="E33" s="159" t="s">
        <v>98</v>
      </c>
      <c r="F33" s="137">
        <f>'Despesa Fixa'!E52</f>
        <v>0</v>
      </c>
      <c r="G33" s="137">
        <f>'Despesa Fixa'!F52</f>
        <v>0</v>
      </c>
      <c r="H33" s="137">
        <f>'Despesa Fixa'!G52</f>
        <v>0</v>
      </c>
      <c r="I33" s="137">
        <f>'Despesa Fixa'!H52</f>
        <v>0</v>
      </c>
      <c r="J33" s="137">
        <f>'Despesa Fixa'!I52</f>
        <v>0</v>
      </c>
      <c r="K33" s="137">
        <f>'Despesa Fixa'!J52</f>
        <v>0</v>
      </c>
      <c r="L33" s="137">
        <f>'Despesa Fixa'!K52</f>
        <v>0</v>
      </c>
      <c r="M33" s="137">
        <f>'Despesa Fixa'!L52</f>
        <v>0</v>
      </c>
      <c r="N33" s="137">
        <f>'Despesa Fixa'!M52</f>
        <v>0</v>
      </c>
      <c r="O33" s="137">
        <f>'Despesa Fixa'!N52</f>
        <v>0</v>
      </c>
      <c r="P33" s="137">
        <f>'Despesa Fixa'!O52</f>
        <v>0</v>
      </c>
      <c r="Q33" s="137">
        <f>'Despesa Fixa'!P52</f>
        <v>0</v>
      </c>
      <c r="R33" s="138">
        <f t="shared" ref="R33" si="14">SUM(F33:Q33)</f>
        <v>0</v>
      </c>
    </row>
    <row r="34" spans="1:18">
      <c r="A34" s="2"/>
      <c r="B34" s="316"/>
      <c r="C34" s="296"/>
      <c r="D34" s="293"/>
      <c r="E34" s="95" t="s">
        <v>193</v>
      </c>
      <c r="F34" s="117" t="str">
        <f t="shared" ref="F34:R34" si="15">IFERROR(F33/F$4,"")</f>
        <v/>
      </c>
      <c r="G34" s="117" t="str">
        <f t="shared" si="15"/>
        <v/>
      </c>
      <c r="H34" s="117" t="str">
        <f t="shared" si="15"/>
        <v/>
      </c>
      <c r="I34" s="117" t="str">
        <f t="shared" si="15"/>
        <v/>
      </c>
      <c r="J34" s="117" t="str">
        <f t="shared" si="15"/>
        <v/>
      </c>
      <c r="K34" s="117" t="str">
        <f t="shared" si="15"/>
        <v/>
      </c>
      <c r="L34" s="117" t="str">
        <f t="shared" si="15"/>
        <v/>
      </c>
      <c r="M34" s="117" t="str">
        <f t="shared" si="15"/>
        <v/>
      </c>
      <c r="N34" s="117" t="str">
        <f t="shared" si="15"/>
        <v/>
      </c>
      <c r="O34" s="117" t="str">
        <f t="shared" si="15"/>
        <v/>
      </c>
      <c r="P34" s="117" t="str">
        <f t="shared" si="15"/>
        <v/>
      </c>
      <c r="Q34" s="117" t="str">
        <f t="shared" si="15"/>
        <v/>
      </c>
      <c r="R34" s="117" t="str">
        <f t="shared" si="15"/>
        <v/>
      </c>
    </row>
    <row r="35" spans="1:18">
      <c r="A35" s="2"/>
      <c r="B35" s="316"/>
      <c r="C35" s="296"/>
      <c r="D35" s="293"/>
      <c r="E35" s="104" t="s">
        <v>111</v>
      </c>
      <c r="F35" s="239"/>
      <c r="G35" s="239"/>
      <c r="H35" s="239"/>
      <c r="I35" s="239"/>
      <c r="J35" s="239"/>
      <c r="K35" s="239"/>
      <c r="L35" s="239"/>
      <c r="M35" s="239"/>
      <c r="N35" s="239"/>
      <c r="O35" s="239"/>
      <c r="P35" s="239"/>
      <c r="Q35" s="239"/>
      <c r="R35" s="102">
        <f>SUM(F35:Q35)</f>
        <v>0</v>
      </c>
    </row>
    <row r="36" spans="1:18" ht="15.75" thickBot="1">
      <c r="A36" s="2"/>
      <c r="B36" s="316"/>
      <c r="C36" s="296"/>
      <c r="D36" s="294"/>
      <c r="E36" s="100" t="s">
        <v>113</v>
      </c>
      <c r="F36" s="115" t="str">
        <f t="shared" ref="F36:R36" si="16">IFERROR(F33/F35,"")</f>
        <v/>
      </c>
      <c r="G36" s="115" t="str">
        <f t="shared" si="16"/>
        <v/>
      </c>
      <c r="H36" s="115" t="str">
        <f t="shared" si="16"/>
        <v/>
      </c>
      <c r="I36" s="115" t="str">
        <f t="shared" si="16"/>
        <v/>
      </c>
      <c r="J36" s="115" t="str">
        <f t="shared" si="16"/>
        <v/>
      </c>
      <c r="K36" s="115" t="str">
        <f t="shared" si="16"/>
        <v/>
      </c>
      <c r="L36" s="115" t="str">
        <f t="shared" si="16"/>
        <v/>
      </c>
      <c r="M36" s="115" t="str">
        <f t="shared" si="16"/>
        <v/>
      </c>
      <c r="N36" s="115" t="str">
        <f t="shared" si="16"/>
        <v/>
      </c>
      <c r="O36" s="115" t="str">
        <f t="shared" si="16"/>
        <v/>
      </c>
      <c r="P36" s="115" t="str">
        <f t="shared" si="16"/>
        <v/>
      </c>
      <c r="Q36" s="115" t="str">
        <f t="shared" si="16"/>
        <v/>
      </c>
      <c r="R36" s="116" t="str">
        <f t="shared" si="16"/>
        <v/>
      </c>
    </row>
    <row r="37" spans="1:18" ht="8.1" customHeight="1" thickBot="1">
      <c r="A37" s="2"/>
      <c r="B37" s="316"/>
      <c r="C37" s="296"/>
      <c r="D37" s="130"/>
      <c r="E37" s="59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51"/>
    </row>
    <row r="38" spans="1:18">
      <c r="A38" s="2"/>
      <c r="B38" s="316"/>
      <c r="C38" s="296"/>
      <c r="D38" s="280" t="s">
        <v>49</v>
      </c>
      <c r="E38" s="96" t="s">
        <v>99</v>
      </c>
      <c r="F38" s="93">
        <f>'Despesa Fixa'!E58</f>
        <v>0</v>
      </c>
      <c r="G38" s="93">
        <f>'Despesa Fixa'!F58</f>
        <v>0</v>
      </c>
      <c r="H38" s="93">
        <f>'Despesa Fixa'!G58</f>
        <v>0</v>
      </c>
      <c r="I38" s="93">
        <f>'Despesa Fixa'!H58</f>
        <v>0</v>
      </c>
      <c r="J38" s="93">
        <f>'Despesa Fixa'!I58</f>
        <v>0</v>
      </c>
      <c r="K38" s="93">
        <f>'Despesa Fixa'!J58</f>
        <v>0</v>
      </c>
      <c r="L38" s="93">
        <f>'Despesa Fixa'!K58</f>
        <v>0</v>
      </c>
      <c r="M38" s="93">
        <f>'Despesa Fixa'!L58</f>
        <v>0</v>
      </c>
      <c r="N38" s="93">
        <f>'Despesa Fixa'!M58</f>
        <v>0</v>
      </c>
      <c r="O38" s="93">
        <f>'Despesa Fixa'!N58</f>
        <v>0</v>
      </c>
      <c r="P38" s="93">
        <f>'Despesa Fixa'!O58</f>
        <v>0</v>
      </c>
      <c r="Q38" s="93">
        <f>'Despesa Fixa'!P58</f>
        <v>0</v>
      </c>
      <c r="R38" s="94">
        <f>SUM(F38:Q38)</f>
        <v>0</v>
      </c>
    </row>
    <row r="39" spans="1:18">
      <c r="A39" s="2"/>
      <c r="B39" s="316"/>
      <c r="C39" s="296"/>
      <c r="D39" s="281"/>
      <c r="E39" s="95" t="s">
        <v>194</v>
      </c>
      <c r="F39" s="117" t="str">
        <f t="shared" ref="F39:R39" si="17">IFERROR(F38/F$4,"")</f>
        <v/>
      </c>
      <c r="G39" s="117" t="str">
        <f t="shared" si="17"/>
        <v/>
      </c>
      <c r="H39" s="117" t="str">
        <f t="shared" si="17"/>
        <v/>
      </c>
      <c r="I39" s="117" t="str">
        <f t="shared" si="17"/>
        <v/>
      </c>
      <c r="J39" s="117" t="str">
        <f t="shared" si="17"/>
        <v/>
      </c>
      <c r="K39" s="117" t="str">
        <f t="shared" si="17"/>
        <v/>
      </c>
      <c r="L39" s="117" t="str">
        <f t="shared" si="17"/>
        <v/>
      </c>
      <c r="M39" s="117" t="str">
        <f t="shared" si="17"/>
        <v/>
      </c>
      <c r="N39" s="117" t="str">
        <f t="shared" si="17"/>
        <v/>
      </c>
      <c r="O39" s="117" t="str">
        <f t="shared" si="17"/>
        <v/>
      </c>
      <c r="P39" s="117" t="str">
        <f t="shared" si="17"/>
        <v/>
      </c>
      <c r="Q39" s="117" t="str">
        <f t="shared" si="17"/>
        <v/>
      </c>
      <c r="R39" s="117" t="str">
        <f t="shared" si="17"/>
        <v/>
      </c>
    </row>
    <row r="40" spans="1:18">
      <c r="A40" s="2"/>
      <c r="B40" s="316"/>
      <c r="C40" s="296"/>
      <c r="D40" s="281"/>
      <c r="E40" s="101" t="s">
        <v>111</v>
      </c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  <c r="R40" s="102">
        <f>SUM(F40:Q40)</f>
        <v>0</v>
      </c>
    </row>
    <row r="41" spans="1:18" ht="15.75" thickBot="1">
      <c r="A41" s="2"/>
      <c r="B41" s="316"/>
      <c r="C41" s="296"/>
      <c r="D41" s="282"/>
      <c r="E41" s="103" t="s">
        <v>113</v>
      </c>
      <c r="F41" s="115" t="str">
        <f t="shared" ref="F41:R41" si="18">IFERROR(F38/F40,"")</f>
        <v/>
      </c>
      <c r="G41" s="115" t="str">
        <f t="shared" si="18"/>
        <v/>
      </c>
      <c r="H41" s="115" t="str">
        <f t="shared" si="18"/>
        <v/>
      </c>
      <c r="I41" s="115" t="str">
        <f t="shared" si="18"/>
        <v/>
      </c>
      <c r="J41" s="115" t="str">
        <f t="shared" si="18"/>
        <v/>
      </c>
      <c r="K41" s="115" t="str">
        <f t="shared" si="18"/>
        <v/>
      </c>
      <c r="L41" s="115" t="str">
        <f t="shared" si="18"/>
        <v/>
      </c>
      <c r="M41" s="115" t="str">
        <f t="shared" si="18"/>
        <v/>
      </c>
      <c r="N41" s="115" t="str">
        <f t="shared" si="18"/>
        <v/>
      </c>
      <c r="O41" s="115" t="str">
        <f t="shared" si="18"/>
        <v/>
      </c>
      <c r="P41" s="115" t="str">
        <f t="shared" si="18"/>
        <v/>
      </c>
      <c r="Q41" s="115" t="str">
        <f t="shared" si="18"/>
        <v/>
      </c>
      <c r="R41" s="116" t="str">
        <f t="shared" si="18"/>
        <v/>
      </c>
    </row>
    <row r="42" spans="1:18" ht="6" customHeight="1" thickBot="1">
      <c r="A42" s="2"/>
      <c r="B42" s="316"/>
      <c r="C42" s="296"/>
      <c r="D42" s="130"/>
      <c r="E42" s="39"/>
      <c r="F42" s="61"/>
      <c r="G42" s="61"/>
      <c r="H42" s="61"/>
      <c r="I42" s="61"/>
      <c r="J42" s="61"/>
      <c r="K42" s="61"/>
      <c r="L42" s="62"/>
      <c r="M42" s="62"/>
      <c r="N42" s="63"/>
      <c r="O42" s="62"/>
      <c r="P42" s="62"/>
      <c r="Q42" s="62"/>
      <c r="R42" s="64"/>
    </row>
    <row r="43" spans="1:18">
      <c r="A43" s="2"/>
      <c r="B43" s="316"/>
      <c r="C43" s="296"/>
      <c r="D43" s="280" t="s">
        <v>52</v>
      </c>
      <c r="E43" s="96" t="s">
        <v>100</v>
      </c>
      <c r="F43" s="93">
        <f>'Despesa Fixa'!E63</f>
        <v>0</v>
      </c>
      <c r="G43" s="93">
        <f>'Despesa Fixa'!F63</f>
        <v>0</v>
      </c>
      <c r="H43" s="93">
        <f>'Despesa Fixa'!G63</f>
        <v>0</v>
      </c>
      <c r="I43" s="93">
        <f>'Despesa Fixa'!H63</f>
        <v>0</v>
      </c>
      <c r="J43" s="93">
        <f>'Despesa Fixa'!I63</f>
        <v>0</v>
      </c>
      <c r="K43" s="93">
        <f>'Despesa Fixa'!J63</f>
        <v>0</v>
      </c>
      <c r="L43" s="93">
        <f>'Despesa Fixa'!K63</f>
        <v>0</v>
      </c>
      <c r="M43" s="93">
        <f>'Despesa Fixa'!L63</f>
        <v>0</v>
      </c>
      <c r="N43" s="93">
        <f>'Despesa Fixa'!M63</f>
        <v>0</v>
      </c>
      <c r="O43" s="93">
        <f>'Despesa Fixa'!N63</f>
        <v>0</v>
      </c>
      <c r="P43" s="93">
        <f>'Despesa Fixa'!O63</f>
        <v>0</v>
      </c>
      <c r="Q43" s="93">
        <f>'Despesa Fixa'!P63</f>
        <v>0</v>
      </c>
      <c r="R43" s="94">
        <f>SUM(F43:Q43)</f>
        <v>0</v>
      </c>
    </row>
    <row r="44" spans="1:18">
      <c r="A44" s="2"/>
      <c r="B44" s="316"/>
      <c r="C44" s="296"/>
      <c r="D44" s="281"/>
      <c r="E44" s="95" t="s">
        <v>195</v>
      </c>
      <c r="F44" s="117" t="str">
        <f t="shared" ref="F44:R44" si="19">IFERROR(F43/F$4,"")</f>
        <v/>
      </c>
      <c r="G44" s="117" t="str">
        <f t="shared" si="19"/>
        <v/>
      </c>
      <c r="H44" s="117" t="str">
        <f t="shared" si="19"/>
        <v/>
      </c>
      <c r="I44" s="117" t="str">
        <f t="shared" si="19"/>
        <v/>
      </c>
      <c r="J44" s="117" t="str">
        <f t="shared" si="19"/>
        <v/>
      </c>
      <c r="K44" s="117" t="str">
        <f t="shared" si="19"/>
        <v/>
      </c>
      <c r="L44" s="117" t="str">
        <f t="shared" si="19"/>
        <v/>
      </c>
      <c r="M44" s="117" t="str">
        <f t="shared" si="19"/>
        <v/>
      </c>
      <c r="N44" s="117" t="str">
        <f t="shared" si="19"/>
        <v/>
      </c>
      <c r="O44" s="117" t="str">
        <f t="shared" si="19"/>
        <v/>
      </c>
      <c r="P44" s="117" t="str">
        <f t="shared" si="19"/>
        <v/>
      </c>
      <c r="Q44" s="117" t="str">
        <f t="shared" si="19"/>
        <v/>
      </c>
      <c r="R44" s="117" t="str">
        <f t="shared" si="19"/>
        <v/>
      </c>
    </row>
    <row r="45" spans="1:18">
      <c r="A45" s="2"/>
      <c r="B45" s="316"/>
      <c r="C45" s="296"/>
      <c r="D45" s="281"/>
      <c r="E45" s="101" t="s">
        <v>111</v>
      </c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39"/>
      <c r="Q45" s="239"/>
      <c r="R45" s="102">
        <f>SUM(F45:Q45)</f>
        <v>0</v>
      </c>
    </row>
    <row r="46" spans="1:18" ht="15.75" thickBot="1">
      <c r="A46" s="2"/>
      <c r="B46" s="316"/>
      <c r="C46" s="296"/>
      <c r="D46" s="282"/>
      <c r="E46" s="103" t="s">
        <v>113</v>
      </c>
      <c r="F46" s="115" t="str">
        <f t="shared" ref="F46:R46" si="20">IFERROR(F43/F45,"")</f>
        <v/>
      </c>
      <c r="G46" s="115" t="str">
        <f t="shared" si="20"/>
        <v/>
      </c>
      <c r="H46" s="115" t="str">
        <f t="shared" si="20"/>
        <v/>
      </c>
      <c r="I46" s="115" t="str">
        <f t="shared" si="20"/>
        <v/>
      </c>
      <c r="J46" s="115" t="str">
        <f t="shared" si="20"/>
        <v/>
      </c>
      <c r="K46" s="115" t="str">
        <f t="shared" si="20"/>
        <v/>
      </c>
      <c r="L46" s="115" t="str">
        <f t="shared" si="20"/>
        <v/>
      </c>
      <c r="M46" s="115" t="str">
        <f t="shared" si="20"/>
        <v/>
      </c>
      <c r="N46" s="115" t="str">
        <f t="shared" si="20"/>
        <v/>
      </c>
      <c r="O46" s="115" t="str">
        <f t="shared" si="20"/>
        <v/>
      </c>
      <c r="P46" s="115" t="str">
        <f t="shared" si="20"/>
        <v/>
      </c>
      <c r="Q46" s="115" t="str">
        <f t="shared" si="20"/>
        <v/>
      </c>
      <c r="R46" s="116" t="str">
        <f t="shared" si="20"/>
        <v/>
      </c>
    </row>
    <row r="47" spans="1:18" s="38" customFormat="1" ht="6" customHeight="1" thickBot="1">
      <c r="A47" s="41"/>
      <c r="B47" s="316"/>
      <c r="C47" s="296"/>
      <c r="D47" s="131"/>
      <c r="E47" s="67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</row>
    <row r="48" spans="1:18">
      <c r="A48" s="2"/>
      <c r="B48" s="316"/>
      <c r="C48" s="296"/>
      <c r="D48" s="130"/>
      <c r="E48" s="111" t="s">
        <v>101</v>
      </c>
      <c r="F48" s="112">
        <f>SUM(F43,F38,F33,F28,F23,F18,F13,F8)</f>
        <v>0</v>
      </c>
      <c r="G48" s="112">
        <f>SUM(G43,G38,G33,G28,G23,G18,G13,G8)</f>
        <v>0</v>
      </c>
      <c r="H48" s="112">
        <f t="shared" ref="H48:R48" si="21">SUM(H43,H38,H33,H28,H23,H18,H13,H8)</f>
        <v>0</v>
      </c>
      <c r="I48" s="112">
        <f t="shared" si="21"/>
        <v>0</v>
      </c>
      <c r="J48" s="112">
        <f t="shared" si="21"/>
        <v>0</v>
      </c>
      <c r="K48" s="112">
        <f t="shared" si="21"/>
        <v>0</v>
      </c>
      <c r="L48" s="112">
        <f t="shared" si="21"/>
        <v>0</v>
      </c>
      <c r="M48" s="112">
        <f t="shared" si="21"/>
        <v>0</v>
      </c>
      <c r="N48" s="112">
        <f t="shared" si="21"/>
        <v>0</v>
      </c>
      <c r="O48" s="112">
        <f t="shared" si="21"/>
        <v>0</v>
      </c>
      <c r="P48" s="112">
        <f t="shared" si="21"/>
        <v>0</v>
      </c>
      <c r="Q48" s="112">
        <f t="shared" si="21"/>
        <v>0</v>
      </c>
      <c r="R48" s="112">
        <f t="shared" si="21"/>
        <v>0</v>
      </c>
    </row>
    <row r="49" spans="1:21">
      <c r="A49" s="2"/>
      <c r="B49" s="316"/>
      <c r="C49" s="296"/>
      <c r="D49" s="130"/>
      <c r="E49" s="113" t="s">
        <v>196</v>
      </c>
      <c r="F49" s="119" t="str">
        <f t="shared" ref="F49:R49" si="22">IFERROR(F48/F4,"")</f>
        <v/>
      </c>
      <c r="G49" s="119" t="str">
        <f t="shared" si="22"/>
        <v/>
      </c>
      <c r="H49" s="119" t="str">
        <f t="shared" si="22"/>
        <v/>
      </c>
      <c r="I49" s="119" t="str">
        <f t="shared" si="22"/>
        <v/>
      </c>
      <c r="J49" s="119" t="str">
        <f t="shared" si="22"/>
        <v/>
      </c>
      <c r="K49" s="119" t="str">
        <f t="shared" si="22"/>
        <v/>
      </c>
      <c r="L49" s="119" t="str">
        <f t="shared" si="22"/>
        <v/>
      </c>
      <c r="M49" s="119" t="str">
        <f t="shared" si="22"/>
        <v/>
      </c>
      <c r="N49" s="119" t="str">
        <f t="shared" si="22"/>
        <v/>
      </c>
      <c r="O49" s="119" t="str">
        <f t="shared" si="22"/>
        <v/>
      </c>
      <c r="P49" s="119" t="str">
        <f t="shared" si="22"/>
        <v/>
      </c>
      <c r="Q49" s="119" t="str">
        <f t="shared" si="22"/>
        <v/>
      </c>
      <c r="R49" s="120" t="str">
        <f t="shared" si="22"/>
        <v/>
      </c>
    </row>
    <row r="50" spans="1:21">
      <c r="A50" s="2"/>
      <c r="B50" s="316"/>
      <c r="C50" s="296"/>
      <c r="D50" s="130"/>
      <c r="E50" s="69" t="s">
        <v>111</v>
      </c>
      <c r="F50" s="239"/>
      <c r="G50" s="239"/>
      <c r="H50" s="239"/>
      <c r="I50" s="239"/>
      <c r="J50" s="239"/>
      <c r="K50" s="239"/>
      <c r="L50" s="239"/>
      <c r="M50" s="239"/>
      <c r="N50" s="239"/>
      <c r="O50" s="239"/>
      <c r="P50" s="239"/>
      <c r="Q50" s="239"/>
      <c r="R50" s="109">
        <f>SUM(F50:Q50)</f>
        <v>0</v>
      </c>
    </row>
    <row r="51" spans="1:21" ht="15.75" thickBot="1">
      <c r="A51" s="2"/>
      <c r="B51" s="316"/>
      <c r="C51" s="297"/>
      <c r="D51" s="130"/>
      <c r="E51" s="110" t="s">
        <v>113</v>
      </c>
      <c r="F51" s="121" t="str">
        <f t="shared" ref="F51:R51" si="23">IFERROR(F48/F50,"")</f>
        <v/>
      </c>
      <c r="G51" s="121" t="str">
        <f t="shared" si="23"/>
        <v/>
      </c>
      <c r="H51" s="121" t="str">
        <f t="shared" si="23"/>
        <v/>
      </c>
      <c r="I51" s="121" t="str">
        <f t="shared" si="23"/>
        <v/>
      </c>
      <c r="J51" s="121" t="str">
        <f t="shared" si="23"/>
        <v/>
      </c>
      <c r="K51" s="121" t="str">
        <f t="shared" si="23"/>
        <v/>
      </c>
      <c r="L51" s="121" t="str">
        <f t="shared" si="23"/>
        <v/>
      </c>
      <c r="M51" s="121" t="str">
        <f t="shared" si="23"/>
        <v/>
      </c>
      <c r="N51" s="121" t="str">
        <f t="shared" si="23"/>
        <v/>
      </c>
      <c r="O51" s="121" t="str">
        <f t="shared" si="23"/>
        <v/>
      </c>
      <c r="P51" s="121" t="str">
        <f t="shared" si="23"/>
        <v/>
      </c>
      <c r="Q51" s="121" t="str">
        <f t="shared" si="23"/>
        <v/>
      </c>
      <c r="R51" s="122" t="str">
        <f t="shared" si="23"/>
        <v/>
      </c>
    </row>
    <row r="52" spans="1:21" ht="6.6" customHeight="1" thickBot="1">
      <c r="A52" s="2"/>
      <c r="B52" s="316"/>
      <c r="C52" s="127"/>
      <c r="D52" s="130"/>
      <c r="E52" s="57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70"/>
      <c r="R52" s="1"/>
    </row>
    <row r="53" spans="1:21" ht="14.45" customHeight="1">
      <c r="A53" s="2"/>
      <c r="B53" s="316"/>
      <c r="C53" s="312" t="s">
        <v>186</v>
      </c>
      <c r="D53" s="280" t="s">
        <v>22</v>
      </c>
      <c r="E53" s="139" t="s">
        <v>94</v>
      </c>
      <c r="F53" s="93">
        <f>Janeiro!$AJ$36</f>
        <v>0</v>
      </c>
      <c r="G53" s="93">
        <f>Fevereiro!$AJ$36</f>
        <v>0</v>
      </c>
      <c r="H53" s="93">
        <f>Março!$AJ$36</f>
        <v>0</v>
      </c>
      <c r="I53" s="93">
        <f>Abril!$AJ$36</f>
        <v>0</v>
      </c>
      <c r="J53" s="93">
        <f>Maio!$AJ$36</f>
        <v>0</v>
      </c>
      <c r="K53" s="93">
        <f>Junho!$AJ$36</f>
        <v>0</v>
      </c>
      <c r="L53" s="93">
        <f>Julho!$AJ$36</f>
        <v>0</v>
      </c>
      <c r="M53" s="93">
        <f>Agosto!$AJ$36</f>
        <v>0</v>
      </c>
      <c r="N53" s="93">
        <f>Setembro!$AJ$36</f>
        <v>0</v>
      </c>
      <c r="O53" s="93">
        <f>Outubro!$AJ$36</f>
        <v>0</v>
      </c>
      <c r="P53" s="93">
        <f>Novembro!$AJ$36</f>
        <v>0</v>
      </c>
      <c r="Q53" s="93">
        <f>Dezembro!$AJ$36</f>
        <v>0</v>
      </c>
      <c r="R53" s="94">
        <f>SUM(F53:Q53)</f>
        <v>0</v>
      </c>
    </row>
    <row r="54" spans="1:21" s="15" customFormat="1">
      <c r="A54" s="2"/>
      <c r="B54" s="316"/>
      <c r="C54" s="313"/>
      <c r="D54" s="281"/>
      <c r="E54" s="95" t="s">
        <v>188</v>
      </c>
      <c r="F54" s="117" t="str">
        <f t="shared" ref="F54:R54" si="24">IFERROR(F53/F$4,"")</f>
        <v/>
      </c>
      <c r="G54" s="117" t="str">
        <f t="shared" si="24"/>
        <v/>
      </c>
      <c r="H54" s="117" t="str">
        <f t="shared" si="24"/>
        <v/>
      </c>
      <c r="I54" s="117" t="str">
        <f t="shared" si="24"/>
        <v/>
      </c>
      <c r="J54" s="117" t="str">
        <f t="shared" si="24"/>
        <v/>
      </c>
      <c r="K54" s="117" t="str">
        <f t="shared" si="24"/>
        <v/>
      </c>
      <c r="L54" s="117" t="str">
        <f t="shared" si="24"/>
        <v/>
      </c>
      <c r="M54" s="117" t="str">
        <f t="shared" si="24"/>
        <v/>
      </c>
      <c r="N54" s="117" t="str">
        <f t="shared" si="24"/>
        <v/>
      </c>
      <c r="O54" s="117" t="str">
        <f t="shared" si="24"/>
        <v/>
      </c>
      <c r="P54" s="117" t="str">
        <f t="shared" si="24"/>
        <v/>
      </c>
      <c r="Q54" s="117" t="str">
        <f t="shared" si="24"/>
        <v/>
      </c>
      <c r="R54" s="117" t="str">
        <f t="shared" si="24"/>
        <v/>
      </c>
    </row>
    <row r="55" spans="1:21" s="15" customFormat="1">
      <c r="A55" s="2"/>
      <c r="B55" s="316"/>
      <c r="C55" s="313"/>
      <c r="D55" s="281"/>
      <c r="E55" s="101" t="s">
        <v>111</v>
      </c>
      <c r="F55" s="239"/>
      <c r="G55" s="239"/>
      <c r="H55" s="239"/>
      <c r="I55" s="239"/>
      <c r="J55" s="239"/>
      <c r="K55" s="239"/>
      <c r="L55" s="239"/>
      <c r="M55" s="239"/>
      <c r="N55" s="239"/>
      <c r="O55" s="239"/>
      <c r="P55" s="239"/>
      <c r="Q55" s="239"/>
      <c r="R55" s="102">
        <f>SUM(F55:Q55)</f>
        <v>0</v>
      </c>
    </row>
    <row r="56" spans="1:21" s="15" customFormat="1" ht="15.75" thickBot="1">
      <c r="A56" s="2"/>
      <c r="B56" s="316"/>
      <c r="C56" s="313"/>
      <c r="D56" s="282"/>
      <c r="E56" s="103" t="s">
        <v>113</v>
      </c>
      <c r="F56" s="115" t="str">
        <f t="shared" ref="F56:R56" si="25">IFERROR(F53/F55,"")</f>
        <v/>
      </c>
      <c r="G56" s="115" t="str">
        <f t="shared" si="25"/>
        <v/>
      </c>
      <c r="H56" s="115" t="str">
        <f t="shared" si="25"/>
        <v/>
      </c>
      <c r="I56" s="115" t="str">
        <f t="shared" si="25"/>
        <v/>
      </c>
      <c r="J56" s="115" t="str">
        <f t="shared" si="25"/>
        <v/>
      </c>
      <c r="K56" s="115" t="str">
        <f t="shared" si="25"/>
        <v/>
      </c>
      <c r="L56" s="115" t="str">
        <f t="shared" si="25"/>
        <v/>
      </c>
      <c r="M56" s="115" t="str">
        <f t="shared" si="25"/>
        <v/>
      </c>
      <c r="N56" s="115" t="str">
        <f t="shared" si="25"/>
        <v/>
      </c>
      <c r="O56" s="115" t="str">
        <f t="shared" si="25"/>
        <v/>
      </c>
      <c r="P56" s="115" t="str">
        <f t="shared" si="25"/>
        <v/>
      </c>
      <c r="Q56" s="115" t="str">
        <f t="shared" si="25"/>
        <v/>
      </c>
      <c r="R56" s="116" t="str">
        <f t="shared" si="25"/>
        <v/>
      </c>
    </row>
    <row r="57" spans="1:21" ht="6" customHeight="1" thickBot="1">
      <c r="A57" s="2"/>
      <c r="B57" s="316"/>
      <c r="C57" s="313"/>
      <c r="D57"/>
    </row>
    <row r="58" spans="1:21">
      <c r="A58" s="2"/>
      <c r="B58" s="316"/>
      <c r="C58" s="313"/>
      <c r="D58" s="280" t="s">
        <v>25</v>
      </c>
      <c r="E58" s="139" t="s">
        <v>115</v>
      </c>
      <c r="F58" s="93">
        <f>Janeiro!$AJ$13</f>
        <v>0</v>
      </c>
      <c r="G58" s="93">
        <f>Fevereiro!$AJ$13</f>
        <v>0</v>
      </c>
      <c r="H58" s="93">
        <f>Março!$AJ$13</f>
        <v>0</v>
      </c>
      <c r="I58" s="93">
        <f>Abril!$AJ$13</f>
        <v>0</v>
      </c>
      <c r="J58" s="93">
        <f>Maio!$AJ$13</f>
        <v>0</v>
      </c>
      <c r="K58" s="93">
        <f>Junho!$AJ$13</f>
        <v>0</v>
      </c>
      <c r="L58" s="93">
        <f>Julho!$AJ$13</f>
        <v>0</v>
      </c>
      <c r="M58" s="93">
        <f>Agosto!$AJ$13</f>
        <v>0</v>
      </c>
      <c r="N58" s="93">
        <f>Setembro!$AJ$13</f>
        <v>0</v>
      </c>
      <c r="O58" s="93">
        <f>Outubro!$AJ$13</f>
        <v>0</v>
      </c>
      <c r="P58" s="93">
        <f>Novembro!$AJ$13</f>
        <v>0</v>
      </c>
      <c r="Q58" s="93">
        <f>Dezembro!$AJ$13</f>
        <v>0</v>
      </c>
      <c r="R58" s="94">
        <f t="shared" ref="R58:R103" si="26">SUM(F58:Q58)</f>
        <v>0</v>
      </c>
    </row>
    <row r="59" spans="1:21">
      <c r="A59" s="2"/>
      <c r="B59" s="316"/>
      <c r="C59" s="313"/>
      <c r="D59" s="281"/>
      <c r="E59" s="95" t="s">
        <v>189</v>
      </c>
      <c r="F59" s="117" t="str">
        <f t="shared" ref="F59:H59" si="27">IFERROR(F58/F$4,"")</f>
        <v/>
      </c>
      <c r="G59" s="117" t="str">
        <f t="shared" si="27"/>
        <v/>
      </c>
      <c r="H59" s="117" t="str">
        <f t="shared" si="27"/>
        <v/>
      </c>
      <c r="I59" s="117" t="str">
        <f t="shared" ref="I59:R59" si="28">IFERROR(I58/I$4,"")</f>
        <v/>
      </c>
      <c r="J59" s="117" t="str">
        <f t="shared" si="28"/>
        <v/>
      </c>
      <c r="K59" s="117" t="str">
        <f t="shared" si="28"/>
        <v/>
      </c>
      <c r="L59" s="117" t="str">
        <f t="shared" si="28"/>
        <v/>
      </c>
      <c r="M59" s="117" t="str">
        <f t="shared" si="28"/>
        <v/>
      </c>
      <c r="N59" s="117" t="str">
        <f t="shared" si="28"/>
        <v/>
      </c>
      <c r="O59" s="117" t="str">
        <f t="shared" si="28"/>
        <v/>
      </c>
      <c r="P59" s="117" t="str">
        <f t="shared" si="28"/>
        <v/>
      </c>
      <c r="Q59" s="117" t="str">
        <f t="shared" si="28"/>
        <v/>
      </c>
      <c r="R59" s="117" t="str">
        <f t="shared" si="28"/>
        <v/>
      </c>
    </row>
    <row r="60" spans="1:21">
      <c r="A60" s="2"/>
      <c r="B60" s="316"/>
      <c r="C60" s="313"/>
      <c r="D60" s="281"/>
      <c r="E60" s="101" t="s">
        <v>111</v>
      </c>
      <c r="F60" s="239"/>
      <c r="G60" s="239"/>
      <c r="H60" s="239"/>
      <c r="I60" s="239"/>
      <c r="J60" s="239"/>
      <c r="K60" s="239"/>
      <c r="L60" s="239"/>
      <c r="M60" s="239"/>
      <c r="N60" s="239"/>
      <c r="O60" s="239"/>
      <c r="P60" s="239"/>
      <c r="Q60" s="239"/>
      <c r="R60" s="102">
        <f>SUM(F60:Q60)</f>
        <v>0</v>
      </c>
    </row>
    <row r="61" spans="1:21" ht="15.75" thickBot="1">
      <c r="A61" s="2"/>
      <c r="B61" s="316"/>
      <c r="C61" s="313"/>
      <c r="D61" s="282"/>
      <c r="E61" s="103" t="s">
        <v>113</v>
      </c>
      <c r="F61" s="115" t="str">
        <f>IFERROR(F58/F60,"")</f>
        <v/>
      </c>
      <c r="G61" s="115" t="str">
        <f>IFERROR(G58/G60,"")</f>
        <v/>
      </c>
      <c r="H61" s="115" t="str">
        <f t="shared" ref="H61:R61" si="29">IFERROR(H58/H60,"")</f>
        <v/>
      </c>
      <c r="I61" s="115" t="str">
        <f t="shared" si="29"/>
        <v/>
      </c>
      <c r="J61" s="115" t="str">
        <f t="shared" si="29"/>
        <v/>
      </c>
      <c r="K61" s="115" t="str">
        <f t="shared" si="29"/>
        <v/>
      </c>
      <c r="L61" s="115" t="str">
        <f t="shared" si="29"/>
        <v/>
      </c>
      <c r="M61" s="115" t="str">
        <f t="shared" si="29"/>
        <v/>
      </c>
      <c r="N61" s="115" t="str">
        <f t="shared" si="29"/>
        <v/>
      </c>
      <c r="O61" s="115" t="str">
        <f t="shared" si="29"/>
        <v/>
      </c>
      <c r="P61" s="115" t="str">
        <f t="shared" si="29"/>
        <v/>
      </c>
      <c r="Q61" s="115" t="str">
        <f t="shared" si="29"/>
        <v/>
      </c>
      <c r="R61" s="115" t="str">
        <f t="shared" si="29"/>
        <v/>
      </c>
    </row>
    <row r="62" spans="1:21" ht="6" customHeight="1" thickBot="1">
      <c r="A62" s="2"/>
      <c r="B62" s="316"/>
      <c r="C62" s="313"/>
      <c r="D62" s="183"/>
      <c r="E62" s="224"/>
      <c r="F62" s="225"/>
      <c r="G62" s="225"/>
      <c r="H62" s="225"/>
      <c r="I62" s="225"/>
      <c r="J62" s="225"/>
      <c r="K62" s="225"/>
      <c r="L62" s="225"/>
      <c r="M62" s="225"/>
      <c r="N62" s="225"/>
      <c r="O62" s="225"/>
      <c r="P62" s="225"/>
      <c r="Q62" s="225"/>
      <c r="R62" s="226"/>
      <c r="S62" s="227"/>
      <c r="T62" s="227"/>
      <c r="U62" s="227"/>
    </row>
    <row r="63" spans="1:21">
      <c r="A63" s="2"/>
      <c r="B63" s="316"/>
      <c r="C63" s="313"/>
      <c r="D63" s="280" t="s">
        <v>23</v>
      </c>
      <c r="E63" s="139" t="s">
        <v>95</v>
      </c>
      <c r="F63" s="93">
        <f>Janeiro!$AJ$23</f>
        <v>0</v>
      </c>
      <c r="G63" s="93">
        <f>Fevereiro!$AJ$23</f>
        <v>0</v>
      </c>
      <c r="H63" s="93">
        <f>Março!$AJ$23</f>
        <v>0</v>
      </c>
      <c r="I63" s="93">
        <f>Abril!$AJ$23</f>
        <v>0</v>
      </c>
      <c r="J63" s="93">
        <f>Maio!$AJ$23</f>
        <v>0</v>
      </c>
      <c r="K63" s="93">
        <f>Junho!$AJ$23</f>
        <v>0</v>
      </c>
      <c r="L63" s="93">
        <f>Julho!$AJ$23</f>
        <v>0</v>
      </c>
      <c r="M63" s="93">
        <f>Agosto!$AJ$23</f>
        <v>0</v>
      </c>
      <c r="N63" s="93">
        <f>Setembro!$AJ$23</f>
        <v>0</v>
      </c>
      <c r="O63" s="93">
        <f>Outubro!$AJ$23</f>
        <v>0</v>
      </c>
      <c r="P63" s="93">
        <f>Novembro!$AJ$23</f>
        <v>0</v>
      </c>
      <c r="Q63" s="93">
        <f>Dezembro!$AJ$23</f>
        <v>0</v>
      </c>
      <c r="R63" s="94">
        <f t="shared" si="26"/>
        <v>0</v>
      </c>
    </row>
    <row r="64" spans="1:21">
      <c r="A64" s="2"/>
      <c r="B64" s="316"/>
      <c r="C64" s="313"/>
      <c r="D64" s="281"/>
      <c r="E64" s="95" t="s">
        <v>190</v>
      </c>
      <c r="F64" s="117" t="str">
        <f t="shared" ref="F64:R64" si="30">IFERROR(F63/F$4,"")</f>
        <v/>
      </c>
      <c r="G64" s="117" t="str">
        <f t="shared" si="30"/>
        <v/>
      </c>
      <c r="H64" s="117" t="str">
        <f t="shared" si="30"/>
        <v/>
      </c>
      <c r="I64" s="117" t="str">
        <f t="shared" si="30"/>
        <v/>
      </c>
      <c r="J64" s="117" t="str">
        <f t="shared" si="30"/>
        <v/>
      </c>
      <c r="K64" s="117" t="str">
        <f t="shared" si="30"/>
        <v/>
      </c>
      <c r="L64" s="117" t="str">
        <f t="shared" si="30"/>
        <v/>
      </c>
      <c r="M64" s="117" t="str">
        <f t="shared" si="30"/>
        <v/>
      </c>
      <c r="N64" s="117" t="str">
        <f t="shared" si="30"/>
        <v/>
      </c>
      <c r="O64" s="117" t="str">
        <f t="shared" si="30"/>
        <v/>
      </c>
      <c r="P64" s="117" t="str">
        <f t="shared" si="30"/>
        <v/>
      </c>
      <c r="Q64" s="117" t="str">
        <f t="shared" si="30"/>
        <v/>
      </c>
      <c r="R64" s="117" t="str">
        <f t="shared" si="30"/>
        <v/>
      </c>
    </row>
    <row r="65" spans="1:21">
      <c r="A65" s="2"/>
      <c r="B65" s="316"/>
      <c r="C65" s="313"/>
      <c r="D65" s="281"/>
      <c r="E65" s="101" t="s">
        <v>111</v>
      </c>
      <c r="F65" s="239"/>
      <c r="G65" s="239"/>
      <c r="H65" s="239"/>
      <c r="I65" s="239"/>
      <c r="J65" s="239"/>
      <c r="K65" s="239"/>
      <c r="L65" s="239"/>
      <c r="M65" s="239"/>
      <c r="N65" s="239"/>
      <c r="O65" s="239"/>
      <c r="P65" s="239"/>
      <c r="Q65" s="239"/>
      <c r="R65" s="102">
        <f>SUM(F65:Q65)</f>
        <v>0</v>
      </c>
    </row>
    <row r="66" spans="1:21" ht="15.75" thickBot="1">
      <c r="A66" s="2"/>
      <c r="B66" s="316"/>
      <c r="C66" s="313"/>
      <c r="D66" s="282"/>
      <c r="E66" s="103" t="s">
        <v>113</v>
      </c>
      <c r="F66" s="115" t="str">
        <f>IFERROR(F63/F65,"")</f>
        <v/>
      </c>
      <c r="G66" s="115" t="str">
        <f t="shared" ref="G66:R66" si="31">IFERROR(G63/G65,"")</f>
        <v/>
      </c>
      <c r="H66" s="115" t="str">
        <f t="shared" si="31"/>
        <v/>
      </c>
      <c r="I66" s="115" t="str">
        <f t="shared" si="31"/>
        <v/>
      </c>
      <c r="J66" s="115" t="str">
        <f t="shared" si="31"/>
        <v/>
      </c>
      <c r="K66" s="115" t="str">
        <f t="shared" si="31"/>
        <v/>
      </c>
      <c r="L66" s="115" t="str">
        <f t="shared" si="31"/>
        <v/>
      </c>
      <c r="M66" s="115" t="str">
        <f t="shared" si="31"/>
        <v/>
      </c>
      <c r="N66" s="115" t="str">
        <f t="shared" si="31"/>
        <v/>
      </c>
      <c r="O66" s="115" t="str">
        <f t="shared" si="31"/>
        <v/>
      </c>
      <c r="P66" s="115" t="str">
        <f t="shared" si="31"/>
        <v/>
      </c>
      <c r="Q66" s="115" t="str">
        <f t="shared" si="31"/>
        <v/>
      </c>
      <c r="R66" s="115" t="str">
        <f t="shared" si="31"/>
        <v/>
      </c>
    </row>
    <row r="67" spans="1:21" ht="6" customHeight="1" thickBot="1">
      <c r="A67" s="2"/>
      <c r="B67" s="316"/>
      <c r="C67" s="313"/>
      <c r="D67" s="183"/>
      <c r="E67" s="224"/>
      <c r="F67" s="225"/>
      <c r="G67" s="225"/>
      <c r="H67" s="225"/>
      <c r="I67" s="225"/>
      <c r="J67" s="225"/>
      <c r="K67" s="225"/>
      <c r="L67" s="225"/>
      <c r="M67" s="225"/>
      <c r="N67" s="225"/>
      <c r="O67" s="225"/>
      <c r="P67" s="225"/>
      <c r="Q67" s="225"/>
      <c r="R67" s="226"/>
      <c r="S67" s="227"/>
    </row>
    <row r="68" spans="1:21">
      <c r="A68" s="2"/>
      <c r="B68" s="316"/>
      <c r="C68" s="313"/>
      <c r="D68" s="280" t="s">
        <v>39</v>
      </c>
      <c r="E68" s="139" t="s">
        <v>96</v>
      </c>
      <c r="F68" s="97">
        <f>Janeiro!$AJ$27</f>
        <v>0</v>
      </c>
      <c r="G68" s="97">
        <f>Fevereiro!$AJ$27</f>
        <v>0</v>
      </c>
      <c r="H68" s="97">
        <f>Março!$AJ$27</f>
        <v>0</v>
      </c>
      <c r="I68" s="97">
        <f>Abril!$AJ$27</f>
        <v>0</v>
      </c>
      <c r="J68" s="97">
        <f>Maio!$AJ$27</f>
        <v>0</v>
      </c>
      <c r="K68" s="93">
        <f>Junho!$AJ$27</f>
        <v>0</v>
      </c>
      <c r="L68" s="93">
        <f>Julho!$AJ$27</f>
        <v>0</v>
      </c>
      <c r="M68" s="93">
        <f>Agosto!$AJ$27</f>
        <v>0</v>
      </c>
      <c r="N68" s="93">
        <f>Setembro!$AJ$27</f>
        <v>0</v>
      </c>
      <c r="O68" s="93">
        <f>Outubro!$AJ$27</f>
        <v>0</v>
      </c>
      <c r="P68" s="93">
        <f>Novembro!$AJ$27</f>
        <v>0</v>
      </c>
      <c r="Q68" s="93">
        <f>Dezembro!$AJ$27</f>
        <v>0</v>
      </c>
      <c r="R68" s="94">
        <f t="shared" si="26"/>
        <v>0</v>
      </c>
    </row>
    <row r="69" spans="1:21">
      <c r="A69" s="2"/>
      <c r="B69" s="316"/>
      <c r="C69" s="313"/>
      <c r="D69" s="281"/>
      <c r="E69" s="95" t="s">
        <v>191</v>
      </c>
      <c r="F69" s="117" t="str">
        <f t="shared" ref="F69:R69" si="32">IFERROR(F68/F$4,"")</f>
        <v/>
      </c>
      <c r="G69" s="117" t="str">
        <f t="shared" si="32"/>
        <v/>
      </c>
      <c r="H69" s="117" t="str">
        <f t="shared" si="32"/>
        <v/>
      </c>
      <c r="I69" s="117" t="str">
        <f t="shared" si="32"/>
        <v/>
      </c>
      <c r="J69" s="117" t="str">
        <f t="shared" si="32"/>
        <v/>
      </c>
      <c r="K69" s="117" t="str">
        <f t="shared" si="32"/>
        <v/>
      </c>
      <c r="L69" s="117" t="str">
        <f t="shared" si="32"/>
        <v/>
      </c>
      <c r="M69" s="117" t="str">
        <f t="shared" si="32"/>
        <v/>
      </c>
      <c r="N69" s="117" t="str">
        <f t="shared" si="32"/>
        <v/>
      </c>
      <c r="O69" s="117" t="str">
        <f t="shared" si="32"/>
        <v/>
      </c>
      <c r="P69" s="117" t="str">
        <f t="shared" si="32"/>
        <v/>
      </c>
      <c r="Q69" s="117" t="str">
        <f t="shared" si="32"/>
        <v/>
      </c>
      <c r="R69" s="117" t="str">
        <f t="shared" si="32"/>
        <v/>
      </c>
    </row>
    <row r="70" spans="1:21">
      <c r="A70" s="2"/>
      <c r="B70" s="316"/>
      <c r="C70" s="313"/>
      <c r="D70" s="281"/>
      <c r="E70" s="101" t="s">
        <v>111</v>
      </c>
      <c r="F70" s="239"/>
      <c r="G70" s="239"/>
      <c r="H70" s="239"/>
      <c r="I70" s="239"/>
      <c r="J70" s="239"/>
      <c r="K70" s="239"/>
      <c r="L70" s="239"/>
      <c r="M70" s="239"/>
      <c r="N70" s="239"/>
      <c r="O70" s="239"/>
      <c r="P70" s="239"/>
      <c r="Q70" s="239"/>
      <c r="R70" s="102">
        <f>SUM(F70:Q70)</f>
        <v>0</v>
      </c>
    </row>
    <row r="71" spans="1:21" ht="15.75" thickBot="1">
      <c r="A71" s="2"/>
      <c r="B71" s="316"/>
      <c r="C71" s="313"/>
      <c r="D71" s="282"/>
      <c r="E71" s="103" t="s">
        <v>113</v>
      </c>
      <c r="F71" s="115" t="str">
        <f>IFERROR(F68/F70,"")</f>
        <v/>
      </c>
      <c r="G71" s="115" t="str">
        <f t="shared" ref="G71:R71" si="33">IFERROR(G68/G70,"")</f>
        <v/>
      </c>
      <c r="H71" s="115" t="str">
        <f t="shared" si="33"/>
        <v/>
      </c>
      <c r="I71" s="115" t="str">
        <f t="shared" si="33"/>
        <v/>
      </c>
      <c r="J71" s="115" t="str">
        <f t="shared" si="33"/>
        <v/>
      </c>
      <c r="K71" s="115" t="str">
        <f t="shared" si="33"/>
        <v/>
      </c>
      <c r="L71" s="115" t="str">
        <f t="shared" si="33"/>
        <v/>
      </c>
      <c r="M71" s="115" t="str">
        <f t="shared" si="33"/>
        <v/>
      </c>
      <c r="N71" s="115" t="str">
        <f t="shared" si="33"/>
        <v/>
      </c>
      <c r="O71" s="115" t="str">
        <f t="shared" si="33"/>
        <v/>
      </c>
      <c r="P71" s="115" t="str">
        <f t="shared" si="33"/>
        <v/>
      </c>
      <c r="Q71" s="115" t="str">
        <f t="shared" si="33"/>
        <v/>
      </c>
      <c r="R71" s="115" t="str">
        <f t="shared" si="33"/>
        <v/>
      </c>
    </row>
    <row r="72" spans="1:21" ht="6" customHeight="1" thickBot="1">
      <c r="A72" s="2"/>
      <c r="B72" s="316"/>
      <c r="C72" s="313"/>
      <c r="D72" s="183"/>
      <c r="E72" s="224"/>
      <c r="F72" s="225"/>
      <c r="G72" s="225"/>
      <c r="H72" s="225"/>
      <c r="I72" s="225"/>
      <c r="J72" s="225"/>
      <c r="K72" s="225"/>
      <c r="L72" s="225"/>
      <c r="M72" s="225"/>
      <c r="N72" s="225"/>
      <c r="O72" s="225"/>
      <c r="P72" s="225"/>
      <c r="Q72" s="225"/>
      <c r="R72" s="226"/>
      <c r="S72" s="227"/>
      <c r="T72" s="227"/>
      <c r="U72" s="227"/>
    </row>
    <row r="73" spans="1:21">
      <c r="A73" s="2"/>
      <c r="B73" s="316"/>
      <c r="C73" s="313"/>
      <c r="D73" s="280" t="s">
        <v>45</v>
      </c>
      <c r="E73" s="139" t="s">
        <v>97</v>
      </c>
      <c r="F73" s="93">
        <f>Janeiro!$AJ$32</f>
        <v>0</v>
      </c>
      <c r="G73" s="93">
        <f>Fevereiro!$AJ$32</f>
        <v>0</v>
      </c>
      <c r="H73" s="93">
        <f>Março!$AJ$32</f>
        <v>0</v>
      </c>
      <c r="I73" s="93">
        <f>Abril!$AJ$32</f>
        <v>0</v>
      </c>
      <c r="J73" s="93">
        <f>Maio!$AJ$32</f>
        <v>0</v>
      </c>
      <c r="K73" s="93">
        <f>Junho!$AJ$32</f>
        <v>0</v>
      </c>
      <c r="L73" s="93">
        <f>Julho!$AJ$32</f>
        <v>0</v>
      </c>
      <c r="M73" s="93">
        <f>Agosto!$AJ$32</f>
        <v>0</v>
      </c>
      <c r="N73" s="93">
        <f>Setembro!$AJ$32</f>
        <v>0</v>
      </c>
      <c r="O73" s="93">
        <f>Outubro!$AJ$32</f>
        <v>0</v>
      </c>
      <c r="P73" s="93">
        <f>Novembro!$AJ$32</f>
        <v>0</v>
      </c>
      <c r="Q73" s="93">
        <f>Dezembro!$AJ$32</f>
        <v>0</v>
      </c>
      <c r="R73" s="94">
        <f t="shared" si="26"/>
        <v>0</v>
      </c>
    </row>
    <row r="74" spans="1:21">
      <c r="A74" s="2"/>
      <c r="B74" s="316"/>
      <c r="C74" s="313"/>
      <c r="D74" s="281"/>
      <c r="E74" s="95" t="s">
        <v>192</v>
      </c>
      <c r="F74" s="117" t="str">
        <f t="shared" ref="F74:R74" si="34">IFERROR(F73/F$4,"")</f>
        <v/>
      </c>
      <c r="G74" s="117" t="str">
        <f t="shared" si="34"/>
        <v/>
      </c>
      <c r="H74" s="117" t="str">
        <f t="shared" si="34"/>
        <v/>
      </c>
      <c r="I74" s="117" t="str">
        <f t="shared" si="34"/>
        <v/>
      </c>
      <c r="J74" s="117" t="str">
        <f t="shared" si="34"/>
        <v/>
      </c>
      <c r="K74" s="117" t="str">
        <f t="shared" si="34"/>
        <v/>
      </c>
      <c r="L74" s="117" t="str">
        <f t="shared" si="34"/>
        <v/>
      </c>
      <c r="M74" s="117" t="str">
        <f t="shared" si="34"/>
        <v/>
      </c>
      <c r="N74" s="117" t="str">
        <f t="shared" si="34"/>
        <v/>
      </c>
      <c r="O74" s="117" t="str">
        <f t="shared" si="34"/>
        <v/>
      </c>
      <c r="P74" s="117" t="str">
        <f t="shared" si="34"/>
        <v/>
      </c>
      <c r="Q74" s="117" t="str">
        <f t="shared" si="34"/>
        <v/>
      </c>
      <c r="R74" s="117" t="str">
        <f t="shared" si="34"/>
        <v/>
      </c>
    </row>
    <row r="75" spans="1:21">
      <c r="A75" s="2"/>
      <c r="B75" s="316"/>
      <c r="C75" s="313"/>
      <c r="D75" s="281"/>
      <c r="E75" s="101" t="s">
        <v>111</v>
      </c>
      <c r="F75" s="239"/>
      <c r="G75" s="239"/>
      <c r="H75" s="239"/>
      <c r="I75" s="239"/>
      <c r="J75" s="239"/>
      <c r="K75" s="239"/>
      <c r="L75" s="239"/>
      <c r="M75" s="239"/>
      <c r="N75" s="239"/>
      <c r="O75" s="239"/>
      <c r="P75" s="239"/>
      <c r="Q75" s="239"/>
      <c r="R75" s="102">
        <f>SUM(F75:Q75)</f>
        <v>0</v>
      </c>
    </row>
    <row r="76" spans="1:21" ht="15.75" thickBot="1">
      <c r="A76" s="2"/>
      <c r="B76" s="316"/>
      <c r="C76" s="313"/>
      <c r="D76" s="282"/>
      <c r="E76" s="103" t="s">
        <v>113</v>
      </c>
      <c r="F76" s="115" t="str">
        <f>IFERROR(F73/F75,"")</f>
        <v/>
      </c>
      <c r="G76" s="115" t="str">
        <f t="shared" ref="G76:R76" si="35">IFERROR(G73/G75,"")</f>
        <v/>
      </c>
      <c r="H76" s="115" t="str">
        <f t="shared" si="35"/>
        <v/>
      </c>
      <c r="I76" s="115" t="str">
        <f t="shared" si="35"/>
        <v/>
      </c>
      <c r="J76" s="115" t="str">
        <f t="shared" si="35"/>
        <v/>
      </c>
      <c r="K76" s="115" t="str">
        <f t="shared" si="35"/>
        <v/>
      </c>
      <c r="L76" s="115" t="str">
        <f t="shared" si="35"/>
        <v/>
      </c>
      <c r="M76" s="115" t="str">
        <f t="shared" si="35"/>
        <v/>
      </c>
      <c r="N76" s="115" t="str">
        <f t="shared" si="35"/>
        <v/>
      </c>
      <c r="O76" s="115" t="str">
        <f t="shared" si="35"/>
        <v/>
      </c>
      <c r="P76" s="115" t="str">
        <f t="shared" si="35"/>
        <v/>
      </c>
      <c r="Q76" s="115" t="str">
        <f t="shared" si="35"/>
        <v/>
      </c>
      <c r="R76" s="115" t="str">
        <f t="shared" si="35"/>
        <v/>
      </c>
    </row>
    <row r="77" spans="1:21" ht="6" customHeight="1" thickBot="1">
      <c r="A77" s="2"/>
      <c r="B77" s="316"/>
      <c r="C77" s="313"/>
      <c r="D77" s="183"/>
      <c r="E77" s="224"/>
      <c r="F77" s="225"/>
      <c r="G77" s="225"/>
      <c r="H77" s="225"/>
      <c r="I77" s="225"/>
      <c r="J77" s="225"/>
      <c r="K77" s="225"/>
      <c r="L77" s="225"/>
      <c r="M77" s="225"/>
      <c r="N77" s="225"/>
      <c r="O77" s="225"/>
      <c r="P77" s="225"/>
      <c r="Q77" s="225"/>
      <c r="R77" s="226"/>
      <c r="S77" s="227"/>
    </row>
    <row r="78" spans="1:21">
      <c r="A78" s="2"/>
      <c r="B78" s="316"/>
      <c r="C78" s="313"/>
      <c r="D78" s="280" t="s">
        <v>58</v>
      </c>
      <c r="E78" s="139" t="s">
        <v>98</v>
      </c>
      <c r="F78" s="93">
        <f>Janeiro!$AJ$44</f>
        <v>0</v>
      </c>
      <c r="G78" s="93">
        <f>Fevereiro!$AJ$44</f>
        <v>0</v>
      </c>
      <c r="H78" s="93">
        <f>Março!$AJ$44</f>
        <v>0</v>
      </c>
      <c r="I78" s="93">
        <f>Abril!$AJ$44</f>
        <v>0</v>
      </c>
      <c r="J78" s="93">
        <f>Maio!$AJ$44</f>
        <v>0</v>
      </c>
      <c r="K78" s="93">
        <f>Junho!$AJ$44</f>
        <v>0</v>
      </c>
      <c r="L78" s="93">
        <f>Julho!$AJ$44</f>
        <v>0</v>
      </c>
      <c r="M78" s="93">
        <f>Agosto!$AJ$44</f>
        <v>0</v>
      </c>
      <c r="N78" s="93">
        <f>Setembro!$AJ$44</f>
        <v>0</v>
      </c>
      <c r="O78" s="93">
        <f>Outubro!$AJ$44</f>
        <v>0</v>
      </c>
      <c r="P78" s="93">
        <f>Novembro!$AJ$44</f>
        <v>0</v>
      </c>
      <c r="Q78" s="93">
        <f>Dezembro!$AJ$44</f>
        <v>0</v>
      </c>
      <c r="R78" s="94">
        <f t="shared" si="26"/>
        <v>0</v>
      </c>
    </row>
    <row r="79" spans="1:21">
      <c r="A79" s="2"/>
      <c r="B79" s="316"/>
      <c r="C79" s="313"/>
      <c r="D79" s="281"/>
      <c r="E79" s="95" t="s">
        <v>193</v>
      </c>
      <c r="F79" s="117" t="str">
        <f t="shared" ref="F79:R79" si="36">IFERROR(F78/F$4,"")</f>
        <v/>
      </c>
      <c r="G79" s="117" t="str">
        <f t="shared" si="36"/>
        <v/>
      </c>
      <c r="H79" s="117" t="str">
        <f t="shared" si="36"/>
        <v/>
      </c>
      <c r="I79" s="117" t="str">
        <f t="shared" si="36"/>
        <v/>
      </c>
      <c r="J79" s="117" t="str">
        <f t="shared" si="36"/>
        <v/>
      </c>
      <c r="K79" s="117" t="str">
        <f t="shared" si="36"/>
        <v/>
      </c>
      <c r="L79" s="117" t="str">
        <f t="shared" si="36"/>
        <v/>
      </c>
      <c r="M79" s="117" t="str">
        <f t="shared" si="36"/>
        <v/>
      </c>
      <c r="N79" s="117" t="str">
        <f t="shared" si="36"/>
        <v/>
      </c>
      <c r="O79" s="117" t="str">
        <f t="shared" si="36"/>
        <v/>
      </c>
      <c r="P79" s="117" t="str">
        <f t="shared" si="36"/>
        <v/>
      </c>
      <c r="Q79" s="117" t="str">
        <f t="shared" si="36"/>
        <v/>
      </c>
      <c r="R79" s="117" t="str">
        <f t="shared" si="36"/>
        <v/>
      </c>
    </row>
    <row r="80" spans="1:21">
      <c r="A80" s="2"/>
      <c r="B80" s="316"/>
      <c r="C80" s="313"/>
      <c r="D80" s="281"/>
      <c r="E80" s="101" t="s">
        <v>111</v>
      </c>
      <c r="F80" s="239"/>
      <c r="G80" s="239"/>
      <c r="H80" s="239"/>
      <c r="I80" s="239"/>
      <c r="J80" s="239"/>
      <c r="K80" s="239"/>
      <c r="L80" s="239"/>
      <c r="M80" s="239"/>
      <c r="N80" s="239"/>
      <c r="O80" s="239"/>
      <c r="P80" s="239"/>
      <c r="Q80" s="239"/>
      <c r="R80" s="102">
        <f>SUM(F80:Q80)</f>
        <v>0</v>
      </c>
    </row>
    <row r="81" spans="1:20" ht="15.75" thickBot="1">
      <c r="A81" s="2"/>
      <c r="B81" s="316"/>
      <c r="C81" s="313"/>
      <c r="D81" s="282"/>
      <c r="E81" s="103" t="s">
        <v>113</v>
      </c>
      <c r="F81" s="115" t="str">
        <f>IFERROR(F78/F80,"")</f>
        <v/>
      </c>
      <c r="G81" s="115" t="str">
        <f t="shared" ref="G81:R81" si="37">IFERROR(G78/G80,"")</f>
        <v/>
      </c>
      <c r="H81" s="115" t="str">
        <f t="shared" si="37"/>
        <v/>
      </c>
      <c r="I81" s="115" t="str">
        <f t="shared" si="37"/>
        <v/>
      </c>
      <c r="J81" s="115" t="str">
        <f t="shared" si="37"/>
        <v/>
      </c>
      <c r="K81" s="115" t="str">
        <f t="shared" si="37"/>
        <v/>
      </c>
      <c r="L81" s="115" t="str">
        <f t="shared" si="37"/>
        <v/>
      </c>
      <c r="M81" s="115" t="str">
        <f t="shared" si="37"/>
        <v/>
      </c>
      <c r="N81" s="115" t="str">
        <f t="shared" si="37"/>
        <v/>
      </c>
      <c r="O81" s="115" t="str">
        <f t="shared" si="37"/>
        <v/>
      </c>
      <c r="P81" s="115" t="str">
        <f t="shared" si="37"/>
        <v/>
      </c>
      <c r="Q81" s="115" t="str">
        <f t="shared" si="37"/>
        <v/>
      </c>
      <c r="R81" s="115" t="str">
        <f t="shared" si="37"/>
        <v/>
      </c>
    </row>
    <row r="82" spans="1:20" ht="6" customHeight="1" thickBot="1">
      <c r="A82" s="2"/>
      <c r="B82" s="316"/>
      <c r="C82" s="313"/>
      <c r="D82" s="183"/>
      <c r="E82" s="224"/>
      <c r="F82" s="225"/>
      <c r="G82" s="225"/>
      <c r="H82" s="225"/>
      <c r="I82" s="225"/>
      <c r="J82" s="225"/>
      <c r="K82" s="225"/>
      <c r="L82" s="225"/>
      <c r="M82" s="225"/>
      <c r="N82" s="225"/>
      <c r="O82" s="225"/>
      <c r="P82" s="225"/>
      <c r="Q82" s="225"/>
      <c r="R82" s="226"/>
      <c r="S82" s="227"/>
      <c r="T82" s="227"/>
    </row>
    <row r="83" spans="1:20">
      <c r="A83" s="2"/>
      <c r="B83" s="316"/>
      <c r="C83" s="313"/>
      <c r="D83" s="280" t="s">
        <v>36</v>
      </c>
      <c r="E83" s="139" t="s">
        <v>121</v>
      </c>
      <c r="F83" s="93">
        <f>Janeiro!$AJ$48</f>
        <v>0</v>
      </c>
      <c r="G83" s="93">
        <f>Fevereiro!$AJ$48</f>
        <v>0</v>
      </c>
      <c r="H83" s="93">
        <f>Março!$AJ$48</f>
        <v>0</v>
      </c>
      <c r="I83" s="93">
        <f>Abril!$AJ$48</f>
        <v>0</v>
      </c>
      <c r="J83" s="93">
        <f>Maio!$AJ$48</f>
        <v>0</v>
      </c>
      <c r="K83" s="93">
        <f>Junho!$AJ$48</f>
        <v>0</v>
      </c>
      <c r="L83" s="93">
        <f>Julho!$AJ$48</f>
        <v>0</v>
      </c>
      <c r="M83" s="93">
        <f>Agosto!$AJ$48</f>
        <v>0</v>
      </c>
      <c r="N83" s="93">
        <f>Setembro!$AJ$48</f>
        <v>0</v>
      </c>
      <c r="O83" s="93">
        <f>Outubro!$AJ$48</f>
        <v>0</v>
      </c>
      <c r="P83" s="93">
        <f>Novembro!$AJ$48</f>
        <v>0</v>
      </c>
      <c r="Q83" s="93">
        <f>Dezembro!$AJ$48</f>
        <v>0</v>
      </c>
      <c r="R83" s="94">
        <f>SUM(F83:Q83)</f>
        <v>0</v>
      </c>
    </row>
    <row r="84" spans="1:20">
      <c r="A84" s="2"/>
      <c r="B84" s="316"/>
      <c r="C84" s="313"/>
      <c r="D84" s="281"/>
      <c r="E84" s="95" t="s">
        <v>197</v>
      </c>
      <c r="F84" s="117" t="str">
        <f t="shared" ref="F84:R84" si="38">IFERROR(F83/F$4,"")</f>
        <v/>
      </c>
      <c r="G84" s="117" t="str">
        <f t="shared" si="38"/>
        <v/>
      </c>
      <c r="H84" s="117" t="str">
        <f t="shared" si="38"/>
        <v/>
      </c>
      <c r="I84" s="117" t="str">
        <f t="shared" si="38"/>
        <v/>
      </c>
      <c r="J84" s="117" t="str">
        <f t="shared" si="38"/>
        <v/>
      </c>
      <c r="K84" s="117" t="str">
        <f t="shared" si="38"/>
        <v/>
      </c>
      <c r="L84" s="117" t="str">
        <f t="shared" si="38"/>
        <v/>
      </c>
      <c r="M84" s="117" t="str">
        <f t="shared" si="38"/>
        <v/>
      </c>
      <c r="N84" s="117" t="str">
        <f t="shared" si="38"/>
        <v/>
      </c>
      <c r="O84" s="117" t="str">
        <f t="shared" si="38"/>
        <v/>
      </c>
      <c r="P84" s="117" t="str">
        <f t="shared" si="38"/>
        <v/>
      </c>
      <c r="Q84" s="117" t="str">
        <f t="shared" si="38"/>
        <v/>
      </c>
      <c r="R84" s="117" t="str">
        <f t="shared" si="38"/>
        <v/>
      </c>
    </row>
    <row r="85" spans="1:20">
      <c r="A85" s="2"/>
      <c r="B85" s="316"/>
      <c r="C85" s="313"/>
      <c r="D85" s="281"/>
      <c r="E85" s="101" t="s">
        <v>111</v>
      </c>
      <c r="F85" s="239"/>
      <c r="G85" s="239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102">
        <f>SUM(F85:Q85)</f>
        <v>0</v>
      </c>
    </row>
    <row r="86" spans="1:20" ht="15.75" thickBot="1">
      <c r="A86" s="2"/>
      <c r="B86" s="316"/>
      <c r="C86" s="313"/>
      <c r="D86" s="282"/>
      <c r="E86" s="103" t="s">
        <v>113</v>
      </c>
      <c r="F86" s="115" t="str">
        <f>IFERROR(F83/F85,"")</f>
        <v/>
      </c>
      <c r="G86" s="115" t="str">
        <f t="shared" ref="G86:R86" si="39">IFERROR(G83/G85,"")</f>
        <v/>
      </c>
      <c r="H86" s="115" t="str">
        <f t="shared" si="39"/>
        <v/>
      </c>
      <c r="I86" s="115" t="str">
        <f t="shared" si="39"/>
        <v/>
      </c>
      <c r="J86" s="115" t="str">
        <f t="shared" si="39"/>
        <v/>
      </c>
      <c r="K86" s="115" t="str">
        <f t="shared" si="39"/>
        <v/>
      </c>
      <c r="L86" s="115" t="str">
        <f t="shared" si="39"/>
        <v/>
      </c>
      <c r="M86" s="115" t="str">
        <f t="shared" si="39"/>
        <v/>
      </c>
      <c r="N86" s="115" t="str">
        <f t="shared" si="39"/>
        <v/>
      </c>
      <c r="O86" s="115" t="str">
        <f t="shared" si="39"/>
        <v/>
      </c>
      <c r="P86" s="115" t="str">
        <f t="shared" si="39"/>
        <v/>
      </c>
      <c r="Q86" s="115" t="str">
        <f t="shared" si="39"/>
        <v/>
      </c>
      <c r="R86" s="115" t="str">
        <f t="shared" si="39"/>
        <v/>
      </c>
    </row>
    <row r="87" spans="1:20" ht="6" customHeight="1" thickBot="1">
      <c r="A87" s="2"/>
      <c r="B87" s="316"/>
      <c r="C87" s="313"/>
      <c r="D87" s="183"/>
      <c r="E87" s="224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26"/>
      <c r="S87" s="227"/>
    </row>
    <row r="88" spans="1:20">
      <c r="A88" s="2"/>
      <c r="B88" s="316"/>
      <c r="C88" s="313"/>
      <c r="D88" s="280" t="s">
        <v>65</v>
      </c>
      <c r="E88" s="139" t="s">
        <v>122</v>
      </c>
      <c r="F88" s="93">
        <f>Janeiro!$AJ$52</f>
        <v>0</v>
      </c>
      <c r="G88" s="93">
        <f>Fevereiro!$AJ$52</f>
        <v>0</v>
      </c>
      <c r="H88" s="93">
        <f>Março!$AJ$52</f>
        <v>0</v>
      </c>
      <c r="I88" s="93">
        <f>Abril!$AJ$52</f>
        <v>0</v>
      </c>
      <c r="J88" s="93">
        <f>Maio!$AJ$52</f>
        <v>0</v>
      </c>
      <c r="K88" s="93">
        <f>Junho!$AJ$52</f>
        <v>0</v>
      </c>
      <c r="L88" s="93">
        <f>Julho!$AJ$52</f>
        <v>0</v>
      </c>
      <c r="M88" s="93">
        <f>Agosto!$AJ$52</f>
        <v>0</v>
      </c>
      <c r="N88" s="93">
        <f>Setembro!$AJ$52</f>
        <v>0</v>
      </c>
      <c r="O88" s="93">
        <f>Outubro!$AJ$52</f>
        <v>0</v>
      </c>
      <c r="P88" s="93">
        <f>Novembro!$AJ$52</f>
        <v>0</v>
      </c>
      <c r="Q88" s="93">
        <f>Dezembro!$AJ$52</f>
        <v>0</v>
      </c>
      <c r="R88" s="94">
        <f t="shared" si="26"/>
        <v>0</v>
      </c>
    </row>
    <row r="89" spans="1:20">
      <c r="A89" s="2"/>
      <c r="B89" s="316"/>
      <c r="C89" s="313"/>
      <c r="D89" s="281"/>
      <c r="E89" s="95" t="s">
        <v>198</v>
      </c>
      <c r="F89" s="117" t="str">
        <f t="shared" ref="F89:R89" si="40">IFERROR(F88/F$4,"")</f>
        <v/>
      </c>
      <c r="G89" s="117" t="str">
        <f t="shared" si="40"/>
        <v/>
      </c>
      <c r="H89" s="117" t="str">
        <f t="shared" si="40"/>
        <v/>
      </c>
      <c r="I89" s="117" t="str">
        <f t="shared" si="40"/>
        <v/>
      </c>
      <c r="J89" s="117" t="str">
        <f t="shared" si="40"/>
        <v/>
      </c>
      <c r="K89" s="117" t="str">
        <f t="shared" si="40"/>
        <v/>
      </c>
      <c r="L89" s="117" t="str">
        <f t="shared" si="40"/>
        <v/>
      </c>
      <c r="M89" s="117" t="str">
        <f t="shared" si="40"/>
        <v/>
      </c>
      <c r="N89" s="117" t="str">
        <f t="shared" si="40"/>
        <v/>
      </c>
      <c r="O89" s="117" t="str">
        <f t="shared" si="40"/>
        <v/>
      </c>
      <c r="P89" s="117" t="str">
        <f t="shared" si="40"/>
        <v/>
      </c>
      <c r="Q89" s="117" t="str">
        <f t="shared" si="40"/>
        <v/>
      </c>
      <c r="R89" s="117" t="str">
        <f t="shared" si="40"/>
        <v/>
      </c>
    </row>
    <row r="90" spans="1:20">
      <c r="A90" s="2"/>
      <c r="B90" s="316"/>
      <c r="C90" s="313"/>
      <c r="D90" s="281"/>
      <c r="E90" s="101" t="s">
        <v>111</v>
      </c>
      <c r="F90" s="239"/>
      <c r="G90" s="239"/>
      <c r="H90" s="239"/>
      <c r="I90" s="239"/>
      <c r="J90" s="239"/>
      <c r="K90" s="239"/>
      <c r="L90" s="239"/>
      <c r="M90" s="239"/>
      <c r="N90" s="239"/>
      <c r="O90" s="239"/>
      <c r="P90" s="239"/>
      <c r="Q90" s="239"/>
      <c r="R90" s="102">
        <f>SUM(F90:Q90)</f>
        <v>0</v>
      </c>
    </row>
    <row r="91" spans="1:20" ht="15.75" thickBot="1">
      <c r="A91" s="2"/>
      <c r="B91" s="316"/>
      <c r="C91" s="313"/>
      <c r="D91" s="282"/>
      <c r="E91" s="103" t="s">
        <v>113</v>
      </c>
      <c r="F91" s="115" t="str">
        <f>IFERROR(F88/F90,"")</f>
        <v/>
      </c>
      <c r="G91" s="115" t="str">
        <f t="shared" ref="G91:R91" si="41">IFERROR(G88/G90,"")</f>
        <v/>
      </c>
      <c r="H91" s="115" t="str">
        <f t="shared" si="41"/>
        <v/>
      </c>
      <c r="I91" s="115" t="str">
        <f t="shared" si="41"/>
        <v/>
      </c>
      <c r="J91" s="115" t="str">
        <f t="shared" si="41"/>
        <v/>
      </c>
      <c r="K91" s="115" t="str">
        <f t="shared" si="41"/>
        <v/>
      </c>
      <c r="L91" s="115" t="str">
        <f t="shared" si="41"/>
        <v/>
      </c>
      <c r="M91" s="115" t="str">
        <f t="shared" si="41"/>
        <v/>
      </c>
      <c r="N91" s="115" t="str">
        <f t="shared" si="41"/>
        <v/>
      </c>
      <c r="O91" s="115" t="str">
        <f t="shared" si="41"/>
        <v/>
      </c>
      <c r="P91" s="115" t="str">
        <f t="shared" si="41"/>
        <v/>
      </c>
      <c r="Q91" s="115" t="str">
        <f t="shared" si="41"/>
        <v/>
      </c>
      <c r="R91" s="115" t="str">
        <f t="shared" si="41"/>
        <v/>
      </c>
    </row>
    <row r="92" spans="1:20" ht="6" customHeight="1" thickBot="1">
      <c r="A92" s="2"/>
      <c r="B92" s="316"/>
      <c r="C92" s="313"/>
      <c r="D92" s="183"/>
      <c r="E92" s="224"/>
      <c r="F92" s="225"/>
      <c r="G92" s="225"/>
      <c r="H92" s="225"/>
      <c r="I92" s="225"/>
      <c r="J92" s="225"/>
      <c r="K92" s="225"/>
      <c r="L92" s="225"/>
      <c r="M92" s="225"/>
      <c r="N92" s="225"/>
      <c r="O92" s="225"/>
      <c r="P92" s="225"/>
      <c r="Q92" s="225"/>
      <c r="R92" s="226"/>
      <c r="S92" s="227"/>
    </row>
    <row r="93" spans="1:20">
      <c r="A93" s="2"/>
      <c r="B93" s="316"/>
      <c r="C93" s="313"/>
      <c r="D93" s="280" t="s">
        <v>68</v>
      </c>
      <c r="E93" s="139" t="s">
        <v>123</v>
      </c>
      <c r="F93" s="93">
        <f>Janeiro!$AJ$57</f>
        <v>0</v>
      </c>
      <c r="G93" s="93">
        <f>Fevereiro!$AJ$57</f>
        <v>0</v>
      </c>
      <c r="H93" s="93">
        <f>Março!$AJ$57</f>
        <v>0</v>
      </c>
      <c r="I93" s="93">
        <f>Abril!$AJ$57</f>
        <v>0</v>
      </c>
      <c r="J93" s="93">
        <f>Maio!$AJ$57</f>
        <v>0</v>
      </c>
      <c r="K93" s="93">
        <f>Junho!$AJ$57</f>
        <v>0</v>
      </c>
      <c r="L93" s="93">
        <f>Julho!$AJ$57</f>
        <v>0</v>
      </c>
      <c r="M93" s="93">
        <f>Agosto!$AJ$57</f>
        <v>0</v>
      </c>
      <c r="N93" s="93">
        <f>Setembro!$AJ$57</f>
        <v>0</v>
      </c>
      <c r="O93" s="93">
        <f>Outubro!$AJ$57</f>
        <v>0</v>
      </c>
      <c r="P93" s="93">
        <f>Novembro!$AJ$57</f>
        <v>0</v>
      </c>
      <c r="Q93" s="93">
        <f>Dezembro!$AJ$57</f>
        <v>0</v>
      </c>
      <c r="R93" s="94">
        <f t="shared" si="26"/>
        <v>0</v>
      </c>
    </row>
    <row r="94" spans="1:20">
      <c r="A94" s="2"/>
      <c r="B94" s="316"/>
      <c r="C94" s="313"/>
      <c r="D94" s="281"/>
      <c r="E94" s="95" t="s">
        <v>199</v>
      </c>
      <c r="F94" s="117" t="str">
        <f t="shared" ref="F94:R94" si="42">IFERROR(F93/F$4,"")</f>
        <v/>
      </c>
      <c r="G94" s="117" t="str">
        <f t="shared" si="42"/>
        <v/>
      </c>
      <c r="H94" s="117" t="str">
        <f t="shared" si="42"/>
        <v/>
      </c>
      <c r="I94" s="117" t="str">
        <f t="shared" si="42"/>
        <v/>
      </c>
      <c r="J94" s="117" t="str">
        <f t="shared" si="42"/>
        <v/>
      </c>
      <c r="K94" s="117" t="str">
        <f t="shared" si="42"/>
        <v/>
      </c>
      <c r="L94" s="117" t="str">
        <f t="shared" si="42"/>
        <v/>
      </c>
      <c r="M94" s="117" t="str">
        <f t="shared" si="42"/>
        <v/>
      </c>
      <c r="N94" s="117" t="str">
        <f t="shared" si="42"/>
        <v/>
      </c>
      <c r="O94" s="117" t="str">
        <f t="shared" si="42"/>
        <v/>
      </c>
      <c r="P94" s="117" t="str">
        <f t="shared" si="42"/>
        <v/>
      </c>
      <c r="Q94" s="117" t="str">
        <f t="shared" si="42"/>
        <v/>
      </c>
      <c r="R94" s="117" t="str">
        <f t="shared" si="42"/>
        <v/>
      </c>
    </row>
    <row r="95" spans="1:20">
      <c r="A95" s="2"/>
      <c r="B95" s="316"/>
      <c r="C95" s="313"/>
      <c r="D95" s="281"/>
      <c r="E95" s="101" t="s">
        <v>111</v>
      </c>
      <c r="F95" s="239"/>
      <c r="G95" s="239"/>
      <c r="H95" s="239"/>
      <c r="I95" s="239"/>
      <c r="J95" s="239"/>
      <c r="K95" s="239"/>
      <c r="L95" s="239"/>
      <c r="M95" s="239"/>
      <c r="N95" s="239"/>
      <c r="O95" s="239"/>
      <c r="P95" s="239"/>
      <c r="Q95" s="239"/>
      <c r="R95" s="102">
        <f>SUM(F95:Q95)</f>
        <v>0</v>
      </c>
    </row>
    <row r="96" spans="1:20" ht="15.75" thickBot="1">
      <c r="A96" s="2"/>
      <c r="B96" s="316"/>
      <c r="C96" s="313"/>
      <c r="D96" s="282"/>
      <c r="E96" s="103" t="s">
        <v>113</v>
      </c>
      <c r="F96" s="100" t="str">
        <f>IFERROR(F93/F95,"")</f>
        <v/>
      </c>
      <c r="G96" s="100" t="str">
        <f t="shared" ref="G96:R96" si="43">IFERROR(G93/G95,"")</f>
        <v/>
      </c>
      <c r="H96" s="100" t="str">
        <f t="shared" si="43"/>
        <v/>
      </c>
      <c r="I96" s="100" t="str">
        <f t="shared" si="43"/>
        <v/>
      </c>
      <c r="J96" s="100" t="str">
        <f t="shared" si="43"/>
        <v/>
      </c>
      <c r="K96" s="100" t="str">
        <f t="shared" si="43"/>
        <v/>
      </c>
      <c r="L96" s="100" t="str">
        <f t="shared" si="43"/>
        <v/>
      </c>
      <c r="M96" s="100" t="str">
        <f t="shared" si="43"/>
        <v/>
      </c>
      <c r="N96" s="100" t="str">
        <f t="shared" si="43"/>
        <v/>
      </c>
      <c r="O96" s="100" t="str">
        <f t="shared" si="43"/>
        <v/>
      </c>
      <c r="P96" s="100" t="str">
        <f t="shared" si="43"/>
        <v/>
      </c>
      <c r="Q96" s="100" t="str">
        <f t="shared" si="43"/>
        <v/>
      </c>
      <c r="R96" s="100" t="str">
        <f t="shared" si="43"/>
        <v/>
      </c>
    </row>
    <row r="97" spans="1:25" ht="6" customHeight="1" thickBot="1">
      <c r="A97" s="2"/>
      <c r="B97" s="316"/>
      <c r="C97" s="313"/>
      <c r="D97" s="183"/>
      <c r="E97" s="224"/>
      <c r="F97" s="228"/>
      <c r="G97" s="228"/>
      <c r="H97" s="228"/>
      <c r="I97" s="228"/>
      <c r="J97" s="228"/>
      <c r="K97" s="228"/>
      <c r="L97" s="228"/>
      <c r="M97" s="228"/>
      <c r="N97" s="228"/>
      <c r="O97" s="228"/>
      <c r="P97" s="228"/>
      <c r="Q97" s="228"/>
      <c r="R97" s="229"/>
      <c r="S97" s="227"/>
    </row>
    <row r="98" spans="1:25">
      <c r="A98" s="2"/>
      <c r="B98" s="316"/>
      <c r="C98" s="313"/>
      <c r="D98" s="281" t="s">
        <v>107</v>
      </c>
      <c r="E98" s="139" t="s">
        <v>124</v>
      </c>
      <c r="F98" s="93">
        <f>Janeiro!AJ61</f>
        <v>0</v>
      </c>
      <c r="G98" s="93">
        <f>Fevereiro!$AJ$61</f>
        <v>0</v>
      </c>
      <c r="H98" s="93">
        <f>Março!$AJ$61</f>
        <v>0</v>
      </c>
      <c r="I98" s="93">
        <f>Abril!$AJ$61</f>
        <v>0</v>
      </c>
      <c r="J98" s="93">
        <f>Maio!$AJ$61</f>
        <v>0</v>
      </c>
      <c r="K98" s="93">
        <f>Junho!$AJ$61</f>
        <v>0</v>
      </c>
      <c r="L98" s="93">
        <f>Julho!$AJ$61</f>
        <v>0</v>
      </c>
      <c r="M98" s="93">
        <f>Agosto!$AJ$61</f>
        <v>0</v>
      </c>
      <c r="N98" s="93">
        <f>Setembro!$AJ$61</f>
        <v>0</v>
      </c>
      <c r="O98" s="93">
        <f>Outubro!$AJ$61</f>
        <v>0</v>
      </c>
      <c r="P98" s="93">
        <f>Novembro!$AJ$61</f>
        <v>0</v>
      </c>
      <c r="Q98" s="93">
        <f>Dezembro!$AJ$61</f>
        <v>0</v>
      </c>
      <c r="R98" s="94"/>
    </row>
    <row r="99" spans="1:25">
      <c r="A99" s="2"/>
      <c r="B99" s="316"/>
      <c r="C99" s="313"/>
      <c r="D99" s="281"/>
      <c r="E99" s="95" t="s">
        <v>200</v>
      </c>
      <c r="F99" s="117" t="str">
        <f>IFERROR(F98/F$4,"")</f>
        <v/>
      </c>
      <c r="G99" s="117" t="str">
        <f t="shared" ref="G99:R99" si="44">IFERROR(G98/G$4,"")</f>
        <v/>
      </c>
      <c r="H99" s="117" t="str">
        <f t="shared" si="44"/>
        <v/>
      </c>
      <c r="I99" s="117" t="str">
        <f t="shared" si="44"/>
        <v/>
      </c>
      <c r="J99" s="117" t="str">
        <f t="shared" si="44"/>
        <v/>
      </c>
      <c r="K99" s="117" t="str">
        <f t="shared" si="44"/>
        <v/>
      </c>
      <c r="L99" s="117" t="str">
        <f t="shared" si="44"/>
        <v/>
      </c>
      <c r="M99" s="117" t="str">
        <f t="shared" si="44"/>
        <v/>
      </c>
      <c r="N99" s="117" t="str">
        <f t="shared" si="44"/>
        <v/>
      </c>
      <c r="O99" s="117" t="str">
        <f t="shared" si="44"/>
        <v/>
      </c>
      <c r="P99" s="117" t="str">
        <f t="shared" si="44"/>
        <v/>
      </c>
      <c r="Q99" s="117" t="str">
        <f t="shared" si="44"/>
        <v/>
      </c>
      <c r="R99" s="117" t="str">
        <f t="shared" si="44"/>
        <v/>
      </c>
    </row>
    <row r="100" spans="1:25">
      <c r="A100" s="2"/>
      <c r="B100" s="316"/>
      <c r="C100" s="313"/>
      <c r="D100" s="281"/>
      <c r="E100" s="101" t="s">
        <v>111</v>
      </c>
      <c r="F100" s="239"/>
      <c r="G100" s="239"/>
      <c r="H100" s="239"/>
      <c r="I100" s="239"/>
      <c r="J100" s="239"/>
      <c r="K100" s="239"/>
      <c r="L100" s="239"/>
      <c r="M100" s="239"/>
      <c r="N100" s="239"/>
      <c r="O100" s="239"/>
      <c r="P100" s="239"/>
      <c r="Q100" s="239"/>
      <c r="R100" s="102">
        <f>SUM(F100:Q100)</f>
        <v>0</v>
      </c>
    </row>
    <row r="101" spans="1:25" ht="15.75" thickBot="1">
      <c r="A101" s="2"/>
      <c r="B101" s="316"/>
      <c r="C101" s="313"/>
      <c r="D101" s="282"/>
      <c r="E101" s="103" t="s">
        <v>113</v>
      </c>
      <c r="F101" s="100" t="str">
        <f>IFERROR(F98/F100,"")</f>
        <v/>
      </c>
      <c r="G101" s="100" t="str">
        <f t="shared" ref="G101:R101" si="45">IFERROR(G98/G100,"")</f>
        <v/>
      </c>
      <c r="H101" s="100" t="str">
        <f t="shared" si="45"/>
        <v/>
      </c>
      <c r="I101" s="100" t="str">
        <f t="shared" si="45"/>
        <v/>
      </c>
      <c r="J101" s="100" t="str">
        <f t="shared" si="45"/>
        <v/>
      </c>
      <c r="K101" s="100" t="str">
        <f t="shared" si="45"/>
        <v/>
      </c>
      <c r="L101" s="100" t="str">
        <f t="shared" si="45"/>
        <v/>
      </c>
      <c r="M101" s="100" t="str">
        <f t="shared" si="45"/>
        <v/>
      </c>
      <c r="N101" s="100" t="str">
        <f t="shared" si="45"/>
        <v/>
      </c>
      <c r="O101" s="100" t="str">
        <f t="shared" si="45"/>
        <v/>
      </c>
      <c r="P101" s="100" t="str">
        <f t="shared" si="45"/>
        <v/>
      </c>
      <c r="Q101" s="100" t="str">
        <f t="shared" si="45"/>
        <v/>
      </c>
      <c r="R101" s="100" t="str">
        <f t="shared" si="45"/>
        <v/>
      </c>
    </row>
    <row r="102" spans="1:25" ht="6" customHeight="1" thickBot="1">
      <c r="A102" s="2"/>
      <c r="B102" s="316"/>
      <c r="C102" s="313"/>
      <c r="D102" s="183"/>
      <c r="E102" s="224"/>
      <c r="F102" s="228"/>
      <c r="G102" s="228"/>
      <c r="H102" s="228"/>
      <c r="I102" s="228"/>
      <c r="J102" s="228"/>
      <c r="K102" s="228"/>
      <c r="L102" s="228"/>
      <c r="M102" s="228"/>
      <c r="N102" s="228"/>
      <c r="O102" s="228"/>
      <c r="P102" s="228"/>
      <c r="Q102" s="228"/>
      <c r="R102" s="229"/>
      <c r="S102" s="227"/>
      <c r="T102" s="227"/>
      <c r="U102" s="227"/>
      <c r="V102" s="227"/>
      <c r="W102" s="227"/>
      <c r="X102" s="227"/>
      <c r="Y102" s="227"/>
    </row>
    <row r="103" spans="1:25">
      <c r="B103" s="316"/>
      <c r="C103" s="313"/>
      <c r="D103" s="280" t="s">
        <v>52</v>
      </c>
      <c r="E103" s="139" t="s">
        <v>100</v>
      </c>
      <c r="F103" s="93">
        <f>Janeiro!$AJ$65</f>
        <v>0</v>
      </c>
      <c r="G103" s="93">
        <f>Fevereiro!$AJ65</f>
        <v>0</v>
      </c>
      <c r="H103" s="93">
        <f>Março!$AJ$65</f>
        <v>0</v>
      </c>
      <c r="I103" s="93">
        <f>Abril!$AJ$65</f>
        <v>0</v>
      </c>
      <c r="J103" s="93">
        <f>Maio!$AJ$65</f>
        <v>0</v>
      </c>
      <c r="K103" s="93">
        <f>Junho!$AJ$65</f>
        <v>0</v>
      </c>
      <c r="L103" s="93">
        <f>Julho!$AJ$65</f>
        <v>0</v>
      </c>
      <c r="M103" s="93">
        <f>Agosto!$AJ$65</f>
        <v>0</v>
      </c>
      <c r="N103" s="93">
        <f>Setembro!$AJ$65</f>
        <v>0</v>
      </c>
      <c r="O103" s="93">
        <f>Outubro!$AJ$65</f>
        <v>0</v>
      </c>
      <c r="P103" s="93">
        <f>Novembro!$AJ$65</f>
        <v>0</v>
      </c>
      <c r="Q103" s="93">
        <f>Dezembro!$AJ$65</f>
        <v>0</v>
      </c>
      <c r="R103" s="94">
        <f t="shared" si="26"/>
        <v>0</v>
      </c>
    </row>
    <row r="104" spans="1:25">
      <c r="B104" s="316"/>
      <c r="C104" s="313"/>
      <c r="D104" s="281"/>
      <c r="E104" s="95" t="s">
        <v>195</v>
      </c>
      <c r="F104" s="117" t="str">
        <f t="shared" ref="F104:R104" si="46">IFERROR(F103/F$4,"")</f>
        <v/>
      </c>
      <c r="G104" s="117" t="str">
        <f t="shared" si="46"/>
        <v/>
      </c>
      <c r="H104" s="117" t="str">
        <f t="shared" si="46"/>
        <v/>
      </c>
      <c r="I104" s="117" t="str">
        <f t="shared" si="46"/>
        <v/>
      </c>
      <c r="J104" s="117" t="str">
        <f t="shared" si="46"/>
        <v/>
      </c>
      <c r="K104" s="117" t="str">
        <f t="shared" si="46"/>
        <v/>
      </c>
      <c r="L104" s="117" t="str">
        <f t="shared" si="46"/>
        <v/>
      </c>
      <c r="M104" s="117" t="str">
        <f t="shared" si="46"/>
        <v/>
      </c>
      <c r="N104" s="117" t="str">
        <f t="shared" si="46"/>
        <v/>
      </c>
      <c r="O104" s="117" t="str">
        <f t="shared" si="46"/>
        <v/>
      </c>
      <c r="P104" s="117" t="str">
        <f t="shared" si="46"/>
        <v/>
      </c>
      <c r="Q104" s="117" t="str">
        <f t="shared" si="46"/>
        <v/>
      </c>
      <c r="R104" s="117" t="str">
        <f t="shared" si="46"/>
        <v/>
      </c>
    </row>
    <row r="105" spans="1:25">
      <c r="B105" s="316"/>
      <c r="C105" s="313"/>
      <c r="D105" s="281"/>
      <c r="E105" s="101" t="s">
        <v>111</v>
      </c>
      <c r="F105" s="239"/>
      <c r="G105" s="239"/>
      <c r="H105" s="239"/>
      <c r="I105" s="239"/>
      <c r="J105" s="239"/>
      <c r="K105" s="239"/>
      <c r="L105" s="239"/>
      <c r="M105" s="239"/>
      <c r="N105" s="239"/>
      <c r="O105" s="239"/>
      <c r="P105" s="239"/>
      <c r="Q105" s="239"/>
      <c r="R105" s="102">
        <f>SUM(F105:Q105)</f>
        <v>0</v>
      </c>
    </row>
    <row r="106" spans="1:25" ht="15.75" thickBot="1">
      <c r="B106" s="316"/>
      <c r="C106" s="313"/>
      <c r="D106" s="282"/>
      <c r="E106" s="103" t="s">
        <v>113</v>
      </c>
      <c r="F106" s="115" t="str">
        <f>IFERROR(F103/F105,"")</f>
        <v/>
      </c>
      <c r="G106" s="115" t="str">
        <f t="shared" ref="G106:R106" si="47">IFERROR(G103/G105,"")</f>
        <v/>
      </c>
      <c r="H106" s="115" t="str">
        <f t="shared" si="47"/>
        <v/>
      </c>
      <c r="I106" s="115" t="str">
        <f t="shared" si="47"/>
        <v/>
      </c>
      <c r="J106" s="115" t="str">
        <f t="shared" si="47"/>
        <v/>
      </c>
      <c r="K106" s="115" t="str">
        <f t="shared" si="47"/>
        <v/>
      </c>
      <c r="L106" s="115" t="str">
        <f t="shared" si="47"/>
        <v/>
      </c>
      <c r="M106" s="115" t="str">
        <f t="shared" si="47"/>
        <v/>
      </c>
      <c r="N106" s="115" t="str">
        <f t="shared" si="47"/>
        <v/>
      </c>
      <c r="O106" s="115" t="str">
        <f t="shared" si="47"/>
        <v/>
      </c>
      <c r="P106" s="115" t="str">
        <f t="shared" si="47"/>
        <v/>
      </c>
      <c r="Q106" s="115" t="str">
        <f t="shared" si="47"/>
        <v/>
      </c>
      <c r="R106" s="115" t="str">
        <f t="shared" si="47"/>
        <v/>
      </c>
    </row>
    <row r="107" spans="1:25" s="38" customFormat="1" ht="5.45" customHeight="1" thickBot="1">
      <c r="B107" s="316"/>
      <c r="C107" s="313"/>
      <c r="D107" s="131"/>
      <c r="E107" s="71"/>
      <c r="F107" s="72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</row>
    <row r="108" spans="1:25">
      <c r="B108" s="316"/>
      <c r="C108" s="313"/>
      <c r="D108" s="130"/>
      <c r="E108" s="105" t="s">
        <v>93</v>
      </c>
      <c r="F108" s="106">
        <f>SUM(F53,F58,F63,F68,F73,F78,F83,F88,F93,F98,F103)</f>
        <v>0</v>
      </c>
      <c r="G108" s="106">
        <f>SUM(G53,G58,G63,G68,G73,G78,G83,G88,G93,G98,G103)</f>
        <v>0</v>
      </c>
      <c r="H108" s="106">
        <f t="shared" ref="H108:R108" si="48">SUM(H53,H58,H63,H68,H73,H78,H83,H88,H93,H98,H103)</f>
        <v>0</v>
      </c>
      <c r="I108" s="106">
        <f t="shared" si="48"/>
        <v>0</v>
      </c>
      <c r="J108" s="106">
        <f t="shared" si="48"/>
        <v>0</v>
      </c>
      <c r="K108" s="106">
        <f t="shared" si="48"/>
        <v>0</v>
      </c>
      <c r="L108" s="106">
        <f t="shared" si="48"/>
        <v>0</v>
      </c>
      <c r="M108" s="106">
        <f t="shared" si="48"/>
        <v>0</v>
      </c>
      <c r="N108" s="106">
        <f t="shared" si="48"/>
        <v>0</v>
      </c>
      <c r="O108" s="106">
        <f t="shared" si="48"/>
        <v>0</v>
      </c>
      <c r="P108" s="106">
        <f t="shared" si="48"/>
        <v>0</v>
      </c>
      <c r="Q108" s="106">
        <f t="shared" si="48"/>
        <v>0</v>
      </c>
      <c r="R108" s="107">
        <f t="shared" si="48"/>
        <v>0</v>
      </c>
    </row>
    <row r="109" spans="1:25">
      <c r="B109" s="316"/>
      <c r="C109" s="313"/>
      <c r="D109" s="130"/>
      <c r="E109" s="108" t="s">
        <v>201</v>
      </c>
      <c r="F109" s="123" t="str">
        <f t="shared" ref="F109:K109" si="49">IFERROR(F108/F$4,"")</f>
        <v/>
      </c>
      <c r="G109" s="123" t="str">
        <f t="shared" si="49"/>
        <v/>
      </c>
      <c r="H109" s="123" t="str">
        <f t="shared" si="49"/>
        <v/>
      </c>
      <c r="I109" s="123" t="str">
        <f t="shared" si="49"/>
        <v/>
      </c>
      <c r="J109" s="123" t="str">
        <f t="shared" si="49"/>
        <v/>
      </c>
      <c r="K109" s="123" t="str">
        <f t="shared" si="49"/>
        <v/>
      </c>
      <c r="L109" s="123" t="str">
        <f t="shared" ref="L109:R109" si="50">IFERROR(L108/L$4,"")</f>
        <v/>
      </c>
      <c r="M109" s="123" t="str">
        <f t="shared" si="50"/>
        <v/>
      </c>
      <c r="N109" s="123" t="str">
        <f t="shared" si="50"/>
        <v/>
      </c>
      <c r="O109" s="123" t="str">
        <f t="shared" si="50"/>
        <v/>
      </c>
      <c r="P109" s="123" t="str">
        <f t="shared" si="50"/>
        <v/>
      </c>
      <c r="Q109" s="123" t="str">
        <f t="shared" si="50"/>
        <v/>
      </c>
      <c r="R109" s="123" t="str">
        <f t="shared" si="50"/>
        <v/>
      </c>
    </row>
    <row r="110" spans="1:25">
      <c r="B110" s="316"/>
      <c r="C110" s="313"/>
      <c r="D110" s="130"/>
      <c r="E110" s="90" t="s">
        <v>111</v>
      </c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  <c r="P110" s="239"/>
      <c r="Q110" s="239"/>
      <c r="R110" s="91">
        <f>SUM(F110:Q110)</f>
        <v>0</v>
      </c>
    </row>
    <row r="111" spans="1:25" ht="15.75" thickBot="1">
      <c r="B111" s="316"/>
      <c r="C111" s="314"/>
      <c r="D111" s="130"/>
      <c r="E111" s="92" t="s">
        <v>113</v>
      </c>
      <c r="F111" s="124" t="str">
        <f>IFERROR(F108/F110,"")</f>
        <v/>
      </c>
      <c r="G111" s="124" t="str">
        <f t="shared" ref="G111:R111" si="51">IFERROR(G108/G110,"")</f>
        <v/>
      </c>
      <c r="H111" s="124" t="str">
        <f t="shared" si="51"/>
        <v/>
      </c>
      <c r="I111" s="124" t="str">
        <f t="shared" si="51"/>
        <v/>
      </c>
      <c r="J111" s="124" t="str">
        <f t="shared" si="51"/>
        <v/>
      </c>
      <c r="K111" s="124" t="str">
        <f t="shared" si="51"/>
        <v/>
      </c>
      <c r="L111" s="124" t="str">
        <f t="shared" si="51"/>
        <v/>
      </c>
      <c r="M111" s="124" t="str">
        <f t="shared" si="51"/>
        <v/>
      </c>
      <c r="N111" s="124" t="str">
        <f t="shared" si="51"/>
        <v/>
      </c>
      <c r="O111" s="124" t="str">
        <f t="shared" si="51"/>
        <v/>
      </c>
      <c r="P111" s="124" t="str">
        <f t="shared" si="51"/>
        <v/>
      </c>
      <c r="Q111" s="124" t="str">
        <f t="shared" si="51"/>
        <v/>
      </c>
      <c r="R111" s="124" t="str">
        <f t="shared" si="51"/>
        <v/>
      </c>
    </row>
    <row r="112" spans="1:25" ht="3.6" customHeight="1">
      <c r="B112" s="317"/>
      <c r="C112" s="162"/>
      <c r="D112" s="130"/>
      <c r="E112" s="16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5"/>
    </row>
    <row r="113" spans="2:18">
      <c r="B113" s="317"/>
      <c r="C113" s="163"/>
      <c r="D113" s="128"/>
      <c r="E113" s="160" t="s">
        <v>116</v>
      </c>
      <c r="F113" s="77">
        <f t="shared" ref="F113:Q113" si="52">SUM(F48,F108)</f>
        <v>0</v>
      </c>
      <c r="G113" s="77">
        <f t="shared" si="52"/>
        <v>0</v>
      </c>
      <c r="H113" s="77">
        <f t="shared" si="52"/>
        <v>0</v>
      </c>
      <c r="I113" s="77">
        <f t="shared" si="52"/>
        <v>0</v>
      </c>
      <c r="J113" s="77">
        <f t="shared" si="52"/>
        <v>0</v>
      </c>
      <c r="K113" s="77">
        <f t="shared" si="52"/>
        <v>0</v>
      </c>
      <c r="L113" s="77">
        <f t="shared" si="52"/>
        <v>0</v>
      </c>
      <c r="M113" s="77">
        <f t="shared" si="52"/>
        <v>0</v>
      </c>
      <c r="N113" s="77">
        <f t="shared" si="52"/>
        <v>0</v>
      </c>
      <c r="O113" s="77">
        <f t="shared" si="52"/>
        <v>0</v>
      </c>
      <c r="P113" s="77">
        <f t="shared" si="52"/>
        <v>0</v>
      </c>
      <c r="Q113" s="77">
        <f t="shared" si="52"/>
        <v>0</v>
      </c>
      <c r="R113" s="77">
        <f>SUM(F113:Q113)</f>
        <v>0</v>
      </c>
    </row>
    <row r="114" spans="2:18">
      <c r="B114" s="317"/>
      <c r="C114" s="163"/>
      <c r="D114" s="128"/>
      <c r="E114" s="161" t="s">
        <v>125</v>
      </c>
      <c r="F114" s="125" t="str">
        <f>IFERROR(F113/F$4,"")</f>
        <v/>
      </c>
      <c r="G114" s="125" t="str">
        <f>IFERROR(G113/G$4,"")</f>
        <v/>
      </c>
      <c r="H114" s="125" t="str">
        <f>IFERROR(H113/H$4,"")</f>
        <v/>
      </c>
      <c r="I114" s="125" t="str">
        <f>IFERROR(I113/I$4,"")</f>
        <v/>
      </c>
      <c r="J114" s="125" t="str">
        <f t="shared" ref="J114:R114" si="53">IFERROR(J113/J$4,"")</f>
        <v/>
      </c>
      <c r="K114" s="125" t="str">
        <f t="shared" si="53"/>
        <v/>
      </c>
      <c r="L114" s="125" t="str">
        <f t="shared" si="53"/>
        <v/>
      </c>
      <c r="M114" s="125" t="str">
        <f t="shared" si="53"/>
        <v/>
      </c>
      <c r="N114" s="125" t="str">
        <f t="shared" si="53"/>
        <v/>
      </c>
      <c r="O114" s="125" t="str">
        <f t="shared" si="53"/>
        <v/>
      </c>
      <c r="P114" s="125" t="str">
        <f t="shared" si="53"/>
        <v/>
      </c>
      <c r="Q114" s="125" t="str">
        <f t="shared" si="53"/>
        <v/>
      </c>
      <c r="R114" s="125" t="str">
        <f t="shared" si="53"/>
        <v/>
      </c>
    </row>
    <row r="115" spans="2:18">
      <c r="B115" s="317"/>
      <c r="C115" s="163"/>
      <c r="D115" s="128"/>
      <c r="E115" s="161" t="s">
        <v>111</v>
      </c>
      <c r="F115" s="240"/>
      <c r="G115" s="240"/>
      <c r="H115" s="240"/>
      <c r="I115" s="240"/>
      <c r="J115" s="240"/>
      <c r="K115" s="240"/>
      <c r="L115" s="240"/>
      <c r="M115" s="240"/>
      <c r="N115" s="240"/>
      <c r="O115" s="240"/>
      <c r="P115" s="240"/>
      <c r="Q115" s="240"/>
      <c r="R115" s="79">
        <f>SUM(F115:Q115)</f>
        <v>0</v>
      </c>
    </row>
    <row r="116" spans="2:18" ht="15.75" thickBot="1">
      <c r="B116" s="318"/>
      <c r="C116" s="163"/>
      <c r="D116" s="128"/>
      <c r="E116" s="161" t="s">
        <v>113</v>
      </c>
      <c r="F116" s="126" t="str">
        <f>IFERROR(F113/F115,"")</f>
        <v/>
      </c>
      <c r="G116" s="126" t="str">
        <f t="shared" ref="G116:R116" si="54">IFERROR(G113/G115,"")</f>
        <v/>
      </c>
      <c r="H116" s="126" t="str">
        <f t="shared" si="54"/>
        <v/>
      </c>
      <c r="I116" s="126" t="str">
        <f t="shared" si="54"/>
        <v/>
      </c>
      <c r="J116" s="126" t="str">
        <f t="shared" si="54"/>
        <v/>
      </c>
      <c r="K116" s="126" t="str">
        <f t="shared" si="54"/>
        <v/>
      </c>
      <c r="L116" s="126" t="str">
        <f t="shared" si="54"/>
        <v/>
      </c>
      <c r="M116" s="126" t="str">
        <f t="shared" si="54"/>
        <v/>
      </c>
      <c r="N116" s="126" t="str">
        <f t="shared" si="54"/>
        <v/>
      </c>
      <c r="O116" s="126" t="str">
        <f t="shared" si="54"/>
        <v/>
      </c>
      <c r="P116" s="126" t="str">
        <f t="shared" si="54"/>
        <v/>
      </c>
      <c r="Q116" s="126" t="str">
        <f t="shared" si="54"/>
        <v/>
      </c>
      <c r="R116" s="126" t="str">
        <f t="shared" si="54"/>
        <v/>
      </c>
    </row>
    <row r="117" spans="2:18" ht="15.75" thickBot="1">
      <c r="B117" s="1"/>
      <c r="C117" s="37"/>
      <c r="D117" s="132"/>
      <c r="E117" s="73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</row>
    <row r="118" spans="2:18">
      <c r="B118" s="298" t="s">
        <v>187</v>
      </c>
      <c r="C118" s="299"/>
      <c r="D118" s="319" t="s">
        <v>82</v>
      </c>
      <c r="E118" s="139" t="s">
        <v>215</v>
      </c>
      <c r="F118" s="137">
        <f>Investimentos!H2</f>
        <v>0</v>
      </c>
      <c r="G118" s="137">
        <f>Investimentos!H3</f>
        <v>0</v>
      </c>
      <c r="H118" s="137">
        <f>Investimentos!H4</f>
        <v>0</v>
      </c>
      <c r="I118" s="137">
        <f>Investimentos!J2</f>
        <v>0</v>
      </c>
      <c r="J118" s="137">
        <f>Investimentos!J3</f>
        <v>0</v>
      </c>
      <c r="K118" s="137">
        <f>Investimentos!J4</f>
        <v>0</v>
      </c>
      <c r="L118" s="137">
        <f>Investimentos!L2</f>
        <v>0</v>
      </c>
      <c r="M118" s="137">
        <f>Investimentos!L3</f>
        <v>0</v>
      </c>
      <c r="N118" s="137">
        <f>Investimentos!L4</f>
        <v>0</v>
      </c>
      <c r="O118" s="137">
        <f>Investimentos!N2</f>
        <v>0</v>
      </c>
      <c r="P118" s="137">
        <f>Investimentos!N3</f>
        <v>0</v>
      </c>
      <c r="Q118" s="137">
        <f>Investimentos!N4</f>
        <v>0</v>
      </c>
      <c r="R118" s="138">
        <f>SUM(F118:Q118)</f>
        <v>0</v>
      </c>
    </row>
    <row r="119" spans="2:18">
      <c r="B119" s="300"/>
      <c r="C119" s="301"/>
      <c r="D119" s="320"/>
      <c r="E119" s="95" t="s">
        <v>202</v>
      </c>
      <c r="F119" s="117" t="str">
        <f t="shared" ref="F119:R119" si="55">IFERROR(F118/F$4,"")</f>
        <v/>
      </c>
      <c r="G119" s="117" t="str">
        <f t="shared" si="55"/>
        <v/>
      </c>
      <c r="H119" s="117" t="str">
        <f t="shared" si="55"/>
        <v/>
      </c>
      <c r="I119" s="117" t="str">
        <f t="shared" si="55"/>
        <v/>
      </c>
      <c r="J119" s="117" t="str">
        <f t="shared" si="55"/>
        <v/>
      </c>
      <c r="K119" s="117" t="str">
        <f t="shared" si="55"/>
        <v/>
      </c>
      <c r="L119" s="117" t="str">
        <f t="shared" si="55"/>
        <v/>
      </c>
      <c r="M119" s="117" t="str">
        <f t="shared" si="55"/>
        <v/>
      </c>
      <c r="N119" s="117" t="str">
        <f t="shared" si="55"/>
        <v/>
      </c>
      <c r="O119" s="117" t="str">
        <f t="shared" si="55"/>
        <v/>
      </c>
      <c r="P119" s="117" t="str">
        <f t="shared" si="55"/>
        <v/>
      </c>
      <c r="Q119" s="117" t="str">
        <f t="shared" si="55"/>
        <v/>
      </c>
      <c r="R119" s="117" t="str">
        <f t="shared" si="55"/>
        <v/>
      </c>
    </row>
    <row r="120" spans="2:18">
      <c r="B120" s="300"/>
      <c r="C120" s="301"/>
      <c r="D120" s="320"/>
      <c r="E120" s="101" t="s">
        <v>111</v>
      </c>
      <c r="F120" s="239"/>
      <c r="G120" s="239"/>
      <c r="H120" s="239"/>
      <c r="I120" s="239"/>
      <c r="J120" s="239"/>
      <c r="K120" s="239"/>
      <c r="L120" s="239"/>
      <c r="M120" s="239"/>
      <c r="N120" s="239"/>
      <c r="O120" s="239"/>
      <c r="P120" s="239"/>
      <c r="Q120" s="239"/>
      <c r="R120" s="102">
        <f>SUM(F120:Q120)</f>
        <v>0</v>
      </c>
    </row>
    <row r="121" spans="2:18" ht="15.75" thickBot="1">
      <c r="B121" s="300"/>
      <c r="C121" s="301"/>
      <c r="D121" s="321"/>
      <c r="E121" s="103" t="s">
        <v>113</v>
      </c>
      <c r="F121" s="115" t="str">
        <f>IFERROR(F118/F120,"")</f>
        <v/>
      </c>
      <c r="G121" s="115" t="str">
        <f t="shared" ref="G121:R121" si="56">IFERROR(G118/G120,"")</f>
        <v/>
      </c>
      <c r="H121" s="115" t="str">
        <f t="shared" si="56"/>
        <v/>
      </c>
      <c r="I121" s="115" t="str">
        <f t="shared" si="56"/>
        <v/>
      </c>
      <c r="J121" s="115" t="str">
        <f t="shared" si="56"/>
        <v/>
      </c>
      <c r="K121" s="115" t="str">
        <f t="shared" si="56"/>
        <v/>
      </c>
      <c r="L121" s="115" t="str">
        <f t="shared" si="56"/>
        <v/>
      </c>
      <c r="M121" s="115" t="str">
        <f t="shared" si="56"/>
        <v/>
      </c>
      <c r="N121" s="115" t="str">
        <f t="shared" si="56"/>
        <v/>
      </c>
      <c r="O121" s="115" t="str">
        <f t="shared" si="56"/>
        <v/>
      </c>
      <c r="P121" s="115" t="str">
        <f t="shared" si="56"/>
        <v/>
      </c>
      <c r="Q121" s="115" t="str">
        <f t="shared" si="56"/>
        <v/>
      </c>
      <c r="R121" s="115" t="str">
        <f t="shared" si="56"/>
        <v/>
      </c>
    </row>
    <row r="122" spans="2:18" ht="6" customHeight="1" thickBot="1">
      <c r="B122" s="300"/>
      <c r="C122" s="301"/>
      <c r="D122" s="166"/>
      <c r="E122" s="59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81"/>
      <c r="R122" s="64"/>
    </row>
    <row r="123" spans="2:18">
      <c r="B123" s="300"/>
      <c r="C123" s="301"/>
      <c r="D123" s="309" t="s">
        <v>83</v>
      </c>
      <c r="E123" s="165" t="s">
        <v>17</v>
      </c>
      <c r="F123" s="98">
        <f>Investimentos!G11</f>
        <v>0</v>
      </c>
      <c r="G123" s="98">
        <f>Investimentos!G20</f>
        <v>0</v>
      </c>
      <c r="H123" s="98">
        <f>Investimentos!G29</f>
        <v>0</v>
      </c>
      <c r="I123" s="98">
        <f>Investimentos!G38</f>
        <v>0</v>
      </c>
      <c r="J123" s="98">
        <f>Investimentos!G47</f>
        <v>0</v>
      </c>
      <c r="K123" s="98">
        <f>Investimentos!G56</f>
        <v>0</v>
      </c>
      <c r="L123" s="98">
        <f>Investimentos!G65</f>
        <v>0</v>
      </c>
      <c r="M123" s="98">
        <f>Investimentos!G74</f>
        <v>0</v>
      </c>
      <c r="N123" s="98">
        <f>Investimentos!G83</f>
        <v>0</v>
      </c>
      <c r="O123" s="98">
        <f>Investimentos!G92</f>
        <v>0</v>
      </c>
      <c r="P123" s="98">
        <f>Investimentos!G101</f>
        <v>0</v>
      </c>
      <c r="Q123" s="98">
        <f>Investimentos!G110</f>
        <v>0</v>
      </c>
      <c r="R123" s="99">
        <f t="shared" ref="R123" si="57">SUM(F123:Q123)</f>
        <v>0</v>
      </c>
    </row>
    <row r="124" spans="2:18">
      <c r="B124" s="300"/>
      <c r="C124" s="301"/>
      <c r="D124" s="310"/>
      <c r="E124" s="101" t="s">
        <v>111</v>
      </c>
      <c r="F124" s="239"/>
      <c r="G124" s="239"/>
      <c r="H124" s="239"/>
      <c r="I124" s="239"/>
      <c r="J124" s="239"/>
      <c r="K124" s="239"/>
      <c r="L124" s="239"/>
      <c r="M124" s="239"/>
      <c r="N124" s="239"/>
      <c r="O124" s="239"/>
      <c r="P124" s="239"/>
      <c r="Q124" s="239"/>
      <c r="R124" s="102">
        <f>SUM(F124:Q124)</f>
        <v>0</v>
      </c>
    </row>
    <row r="125" spans="2:18" ht="15.75" thickBot="1">
      <c r="B125" s="300"/>
      <c r="C125" s="301"/>
      <c r="D125" s="311"/>
      <c r="E125" s="103" t="s">
        <v>113</v>
      </c>
      <c r="F125" s="115" t="str">
        <f t="shared" ref="F125:R125" si="58">IFERROR(F123/F124,"")</f>
        <v/>
      </c>
      <c r="G125" s="115" t="str">
        <f t="shared" si="58"/>
        <v/>
      </c>
      <c r="H125" s="115" t="str">
        <f t="shared" si="58"/>
        <v/>
      </c>
      <c r="I125" s="115" t="str">
        <f t="shared" si="58"/>
        <v/>
      </c>
      <c r="J125" s="115" t="str">
        <f t="shared" si="58"/>
        <v/>
      </c>
      <c r="K125" s="115" t="str">
        <f t="shared" si="58"/>
        <v/>
      </c>
      <c r="L125" s="115" t="str">
        <f t="shared" si="58"/>
        <v/>
      </c>
      <c r="M125" s="115" t="str">
        <f t="shared" si="58"/>
        <v/>
      </c>
      <c r="N125" s="115" t="str">
        <f t="shared" si="58"/>
        <v/>
      </c>
      <c r="O125" s="115" t="str">
        <f t="shared" si="58"/>
        <v/>
      </c>
      <c r="P125" s="115" t="str">
        <f t="shared" si="58"/>
        <v/>
      </c>
      <c r="Q125" s="115" t="str">
        <f t="shared" si="58"/>
        <v/>
      </c>
      <c r="R125" s="115" t="str">
        <f t="shared" si="58"/>
        <v/>
      </c>
    </row>
    <row r="126" spans="2:18" s="38" customFormat="1" ht="6" customHeight="1" thickBot="1">
      <c r="B126" s="300"/>
      <c r="C126" s="301"/>
      <c r="D126" s="167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</row>
    <row r="127" spans="2:18" ht="15.75" thickBot="1">
      <c r="B127" s="300"/>
      <c r="C127" s="302"/>
      <c r="D127" s="136" t="s">
        <v>117</v>
      </c>
      <c r="E127" s="169" t="s">
        <v>17</v>
      </c>
      <c r="F127" s="221">
        <f>Investimentos!G12</f>
        <v>0</v>
      </c>
      <c r="G127" s="221">
        <f>Investimentos!G21</f>
        <v>0</v>
      </c>
      <c r="H127" s="221">
        <f>Investimentos!G30</f>
        <v>0</v>
      </c>
      <c r="I127" s="221">
        <f>Investimentos!G39</f>
        <v>0</v>
      </c>
      <c r="J127" s="221">
        <f>Investimentos!G48</f>
        <v>0</v>
      </c>
      <c r="K127" s="221">
        <f>Investimentos!G57</f>
        <v>0</v>
      </c>
      <c r="L127" s="221">
        <f>Investimentos!G66</f>
        <v>0</v>
      </c>
      <c r="M127" s="221">
        <f>Investimentos!G75</f>
        <v>0</v>
      </c>
      <c r="N127" s="221">
        <f>Investimentos!G84</f>
        <v>0</v>
      </c>
      <c r="O127" s="221">
        <f>Investimentos!G93</f>
        <v>0</v>
      </c>
      <c r="P127" s="221">
        <f>Investimentos!G102</f>
        <v>0</v>
      </c>
      <c r="Q127" s="221">
        <f>Investimentos!G111</f>
        <v>0</v>
      </c>
      <c r="R127" s="222">
        <f>SUM(F127:Q127)</f>
        <v>0</v>
      </c>
    </row>
    <row r="128" spans="2:18" s="38" customFormat="1" ht="3.95" customHeight="1">
      <c r="B128" s="300"/>
      <c r="C128" s="302"/>
      <c r="D128" s="170"/>
      <c r="E128" s="71"/>
      <c r="F128" s="168"/>
      <c r="G128" s="168"/>
      <c r="H128" s="168"/>
      <c r="I128" s="168"/>
      <c r="J128" s="168"/>
      <c r="K128" s="168"/>
      <c r="L128" s="168"/>
      <c r="M128" s="168"/>
      <c r="N128" s="168"/>
      <c r="O128" s="168"/>
      <c r="P128" s="168"/>
      <c r="Q128" s="168"/>
      <c r="R128" s="168"/>
    </row>
    <row r="129" spans="2:18" ht="15.75" thickBot="1">
      <c r="B129" s="303"/>
      <c r="C129" s="304"/>
      <c r="D129" s="44"/>
      <c r="E129" s="161" t="s">
        <v>118</v>
      </c>
      <c r="F129" s="80">
        <f t="shared" ref="F129:R129" si="59">F123+F127</f>
        <v>0</v>
      </c>
      <c r="G129" s="80">
        <f t="shared" si="59"/>
        <v>0</v>
      </c>
      <c r="H129" s="80">
        <f t="shared" si="59"/>
        <v>0</v>
      </c>
      <c r="I129" s="80">
        <f t="shared" si="59"/>
        <v>0</v>
      </c>
      <c r="J129" s="80">
        <f t="shared" si="59"/>
        <v>0</v>
      </c>
      <c r="K129" s="80">
        <f t="shared" si="59"/>
        <v>0</v>
      </c>
      <c r="L129" s="80">
        <f t="shared" si="59"/>
        <v>0</v>
      </c>
      <c r="M129" s="80">
        <f t="shared" si="59"/>
        <v>0</v>
      </c>
      <c r="N129" s="80">
        <f t="shared" si="59"/>
        <v>0</v>
      </c>
      <c r="O129" s="80">
        <f t="shared" si="59"/>
        <v>0</v>
      </c>
      <c r="P129" s="80">
        <f t="shared" si="59"/>
        <v>0</v>
      </c>
      <c r="Q129" s="80">
        <f t="shared" si="59"/>
        <v>0</v>
      </c>
      <c r="R129" s="80">
        <f t="shared" si="59"/>
        <v>0</v>
      </c>
    </row>
    <row r="130" spans="2:18" ht="15.75" thickBot="1">
      <c r="B130" s="1"/>
      <c r="C130" s="1"/>
      <c r="D130" s="132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1"/>
    </row>
    <row r="131" spans="2:18" ht="14.45" customHeight="1">
      <c r="B131" s="305" t="s">
        <v>204</v>
      </c>
      <c r="C131" s="306"/>
      <c r="D131" s="306"/>
      <c r="E131" s="55" t="s">
        <v>203</v>
      </c>
      <c r="F131" s="82">
        <f>$F$4</f>
        <v>0</v>
      </c>
      <c r="G131" s="82">
        <f t="shared" ref="G131:Q131" si="60">G4</f>
        <v>0</v>
      </c>
      <c r="H131" s="82">
        <f t="shared" si="60"/>
        <v>0</v>
      </c>
      <c r="I131" s="82">
        <f t="shared" si="60"/>
        <v>0</v>
      </c>
      <c r="J131" s="82">
        <f t="shared" si="60"/>
        <v>0</v>
      </c>
      <c r="K131" s="82">
        <f t="shared" si="60"/>
        <v>0</v>
      </c>
      <c r="L131" s="82">
        <f t="shared" si="60"/>
        <v>0</v>
      </c>
      <c r="M131" s="82">
        <f t="shared" si="60"/>
        <v>0</v>
      </c>
      <c r="N131" s="82">
        <f t="shared" si="60"/>
        <v>0</v>
      </c>
      <c r="O131" s="82">
        <f t="shared" si="60"/>
        <v>0</v>
      </c>
      <c r="P131" s="82">
        <f t="shared" si="60"/>
        <v>0</v>
      </c>
      <c r="Q131" s="82">
        <f t="shared" si="60"/>
        <v>0</v>
      </c>
      <c r="R131" s="83">
        <f>SUM(F131:Q131)</f>
        <v>0</v>
      </c>
    </row>
    <row r="132" spans="2:18" ht="14.45" customHeight="1">
      <c r="B132" s="307"/>
      <c r="C132" s="308"/>
      <c r="D132" s="308"/>
      <c r="E132" s="56" t="s">
        <v>84</v>
      </c>
      <c r="F132" s="84">
        <f>F48</f>
        <v>0</v>
      </c>
      <c r="G132" s="84">
        <f t="shared" ref="G132:Q132" si="61">G48</f>
        <v>0</v>
      </c>
      <c r="H132" s="84">
        <f t="shared" si="61"/>
        <v>0</v>
      </c>
      <c r="I132" s="84">
        <f t="shared" si="61"/>
        <v>0</v>
      </c>
      <c r="J132" s="84">
        <f t="shared" si="61"/>
        <v>0</v>
      </c>
      <c r="K132" s="84">
        <f t="shared" si="61"/>
        <v>0</v>
      </c>
      <c r="L132" s="84">
        <f t="shared" si="61"/>
        <v>0</v>
      </c>
      <c r="M132" s="84">
        <f t="shared" si="61"/>
        <v>0</v>
      </c>
      <c r="N132" s="84">
        <f t="shared" si="61"/>
        <v>0</v>
      </c>
      <c r="O132" s="84">
        <f t="shared" si="61"/>
        <v>0</v>
      </c>
      <c r="P132" s="84">
        <f t="shared" si="61"/>
        <v>0</v>
      </c>
      <c r="Q132" s="84">
        <f t="shared" si="61"/>
        <v>0</v>
      </c>
      <c r="R132" s="85">
        <f>SUM(F132:Q132)</f>
        <v>0</v>
      </c>
    </row>
    <row r="133" spans="2:18" ht="14.45" customHeight="1">
      <c r="B133" s="307"/>
      <c r="C133" s="308"/>
      <c r="D133" s="308"/>
      <c r="E133" s="56" t="s">
        <v>85</v>
      </c>
      <c r="F133" s="84">
        <f>F108</f>
        <v>0</v>
      </c>
      <c r="G133" s="84">
        <f t="shared" ref="G133:Q133" si="62">G108</f>
        <v>0</v>
      </c>
      <c r="H133" s="84">
        <f t="shared" si="62"/>
        <v>0</v>
      </c>
      <c r="I133" s="84">
        <f t="shared" si="62"/>
        <v>0</v>
      </c>
      <c r="J133" s="84">
        <f t="shared" si="62"/>
        <v>0</v>
      </c>
      <c r="K133" s="84">
        <f t="shared" si="62"/>
        <v>0</v>
      </c>
      <c r="L133" s="84">
        <f t="shared" si="62"/>
        <v>0</v>
      </c>
      <c r="M133" s="84">
        <f t="shared" si="62"/>
        <v>0</v>
      </c>
      <c r="N133" s="84">
        <f t="shared" si="62"/>
        <v>0</v>
      </c>
      <c r="O133" s="84">
        <f t="shared" si="62"/>
        <v>0</v>
      </c>
      <c r="P133" s="84">
        <f t="shared" si="62"/>
        <v>0</v>
      </c>
      <c r="Q133" s="84">
        <f t="shared" si="62"/>
        <v>0</v>
      </c>
      <c r="R133" s="85">
        <f t="shared" ref="R133" si="63">SUM(F133:Q133)</f>
        <v>0</v>
      </c>
    </row>
    <row r="134" spans="2:18" ht="20.45" customHeight="1">
      <c r="B134" s="307"/>
      <c r="C134" s="308"/>
      <c r="D134" s="308"/>
      <c r="E134" s="86" t="s">
        <v>205</v>
      </c>
      <c r="F134" s="230">
        <f>IF(F131-F132-F133&gt;0,F131-F132-F133,0)</f>
        <v>0</v>
      </c>
      <c r="G134" s="230">
        <f t="shared" ref="G134:R134" si="64">IF(G131-G132-G133&gt;0,G131-G132-G133,0)</f>
        <v>0</v>
      </c>
      <c r="H134" s="230">
        <f t="shared" si="64"/>
        <v>0</v>
      </c>
      <c r="I134" s="230">
        <f t="shared" si="64"/>
        <v>0</v>
      </c>
      <c r="J134" s="230">
        <f t="shared" si="64"/>
        <v>0</v>
      </c>
      <c r="K134" s="230">
        <f t="shared" si="64"/>
        <v>0</v>
      </c>
      <c r="L134" s="230">
        <f t="shared" si="64"/>
        <v>0</v>
      </c>
      <c r="M134" s="230">
        <f t="shared" si="64"/>
        <v>0</v>
      </c>
      <c r="N134" s="230">
        <f t="shared" si="64"/>
        <v>0</v>
      </c>
      <c r="O134" s="230">
        <f t="shared" si="64"/>
        <v>0</v>
      </c>
      <c r="P134" s="230">
        <f t="shared" si="64"/>
        <v>0</v>
      </c>
      <c r="Q134" s="230">
        <f t="shared" si="64"/>
        <v>0</v>
      </c>
      <c r="R134" s="230">
        <f t="shared" si="64"/>
        <v>0</v>
      </c>
    </row>
    <row r="135" spans="2:18">
      <c r="B135" s="307"/>
      <c r="C135" s="308"/>
      <c r="D135" s="308"/>
      <c r="E135" s="234" t="s">
        <v>206</v>
      </c>
      <c r="F135" s="235" t="str">
        <f t="shared" ref="F135:R135" si="65">IFERROR(F134/F$4,"")</f>
        <v/>
      </c>
      <c r="G135" s="235" t="str">
        <f t="shared" si="65"/>
        <v/>
      </c>
      <c r="H135" s="235" t="str">
        <f t="shared" si="65"/>
        <v/>
      </c>
      <c r="I135" s="235" t="str">
        <f t="shared" si="65"/>
        <v/>
      </c>
      <c r="J135" s="235" t="str">
        <f t="shared" si="65"/>
        <v/>
      </c>
      <c r="K135" s="235" t="str">
        <f t="shared" si="65"/>
        <v/>
      </c>
      <c r="L135" s="235" t="str">
        <f t="shared" si="65"/>
        <v/>
      </c>
      <c r="M135" s="235" t="str">
        <f t="shared" si="65"/>
        <v/>
      </c>
      <c r="N135" s="235" t="str">
        <f t="shared" si="65"/>
        <v/>
      </c>
      <c r="O135" s="235" t="str">
        <f t="shared" si="65"/>
        <v/>
      </c>
      <c r="P135" s="235" t="str">
        <f t="shared" si="65"/>
        <v/>
      </c>
      <c r="Q135" s="235" t="str">
        <f t="shared" si="65"/>
        <v/>
      </c>
      <c r="R135" s="125" t="str">
        <f t="shared" si="65"/>
        <v/>
      </c>
    </row>
    <row r="136" spans="2:18">
      <c r="B136" s="307"/>
      <c r="C136" s="308"/>
      <c r="D136" s="308"/>
      <c r="E136" s="114" t="s">
        <v>207</v>
      </c>
      <c r="F136" s="240"/>
      <c r="G136" s="240"/>
      <c r="H136" s="241"/>
      <c r="I136" s="240"/>
      <c r="J136" s="240"/>
      <c r="K136" s="240"/>
      <c r="L136" s="240"/>
      <c r="M136" s="240"/>
      <c r="N136" s="240"/>
      <c r="O136" s="240"/>
      <c r="P136" s="240"/>
      <c r="Q136" s="240"/>
      <c r="R136" s="243">
        <f>SUM(F136:Q136)</f>
        <v>0</v>
      </c>
    </row>
    <row r="137" spans="2:18">
      <c r="B137" s="307"/>
      <c r="C137" s="308"/>
      <c r="D137" s="308"/>
      <c r="E137" s="78" t="s">
        <v>208</v>
      </c>
      <c r="F137" s="126" t="str">
        <f>IFERROR(F134/F136,"")</f>
        <v/>
      </c>
      <c r="G137" s="126" t="str">
        <f t="shared" ref="G137:R137" si="66">IFERROR(G134/G136,"")</f>
        <v/>
      </c>
      <c r="H137" s="126" t="str">
        <f t="shared" si="66"/>
        <v/>
      </c>
      <c r="I137" s="126" t="str">
        <f t="shared" si="66"/>
        <v/>
      </c>
      <c r="J137" s="126" t="str">
        <f t="shared" si="66"/>
        <v/>
      </c>
      <c r="K137" s="126" t="str">
        <f t="shared" si="66"/>
        <v/>
      </c>
      <c r="L137" s="126" t="str">
        <f t="shared" si="66"/>
        <v/>
      </c>
      <c r="M137" s="126" t="str">
        <f t="shared" si="66"/>
        <v/>
      </c>
      <c r="N137" s="126" t="str">
        <f t="shared" si="66"/>
        <v/>
      </c>
      <c r="O137" s="126" t="str">
        <f t="shared" si="66"/>
        <v/>
      </c>
      <c r="P137" s="126" t="str">
        <f t="shared" si="66"/>
        <v/>
      </c>
      <c r="Q137" s="126" t="str">
        <f t="shared" si="66"/>
        <v/>
      </c>
      <c r="R137" s="232" t="str">
        <f t="shared" si="66"/>
        <v/>
      </c>
    </row>
    <row r="138" spans="2:18">
      <c r="B138" s="307"/>
      <c r="C138" s="308"/>
      <c r="D138" s="308"/>
      <c r="E138" s="76" t="s">
        <v>90</v>
      </c>
      <c r="F138" s="89">
        <f>Investimentos!G13</f>
        <v>0</v>
      </c>
      <c r="G138" s="89">
        <f>Investimentos!G22</f>
        <v>0</v>
      </c>
      <c r="H138" s="89">
        <f>Investimentos!G31</f>
        <v>0</v>
      </c>
      <c r="I138" s="89">
        <f>Investimentos!G40</f>
        <v>0</v>
      </c>
      <c r="J138" s="89">
        <f>Investimentos!G49</f>
        <v>0</v>
      </c>
      <c r="K138" s="89">
        <f>Investimentos!G58</f>
        <v>0</v>
      </c>
      <c r="L138" s="89">
        <f>Investimentos!G67</f>
        <v>0</v>
      </c>
      <c r="M138" s="89">
        <f>Investimentos!G76</f>
        <v>0</v>
      </c>
      <c r="N138" s="89">
        <f>Investimentos!G85</f>
        <v>0</v>
      </c>
      <c r="O138" s="89">
        <f>Investimentos!G94</f>
        <v>0</v>
      </c>
      <c r="P138" s="89">
        <f>Investimentos!G103</f>
        <v>0</v>
      </c>
      <c r="Q138" s="231">
        <f>Investimentos!G112</f>
        <v>0</v>
      </c>
      <c r="R138" s="233">
        <f>Investimentos!G112</f>
        <v>0</v>
      </c>
    </row>
    <row r="139" spans="2:18">
      <c r="B139" s="152"/>
      <c r="C139" s="1"/>
      <c r="D139" s="132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2:18">
      <c r="B140" s="1"/>
      <c r="C140" s="1"/>
      <c r="D140" s="132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2:18">
      <c r="B141" s="1"/>
      <c r="C141" s="1"/>
      <c r="D141" s="132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2:18">
      <c r="B142" s="1"/>
      <c r="C142" s="1"/>
      <c r="D142" s="132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2:18">
      <c r="B143" s="1"/>
      <c r="C143" s="1"/>
      <c r="D143" s="132"/>
      <c r="E143" s="45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</row>
    <row r="144" spans="2:18">
      <c r="B144" s="1"/>
      <c r="C144" s="1"/>
      <c r="D144" s="132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</row>
    <row r="145" spans="3:18">
      <c r="C145" s="1"/>
      <c r="D145" s="132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</row>
    <row r="146" spans="3:18">
      <c r="C146" s="1"/>
      <c r="E146" s="1"/>
    </row>
    <row r="147" spans="3:18">
      <c r="C147" s="1"/>
      <c r="E147" s="45"/>
    </row>
    <row r="148" spans="3:18">
      <c r="E148" s="45"/>
    </row>
    <row r="149" spans="3:18">
      <c r="E149" s="45"/>
    </row>
    <row r="150" spans="3:18">
      <c r="E150" s="45"/>
    </row>
    <row r="151" spans="3:18">
      <c r="E151" s="45"/>
    </row>
    <row r="152" spans="3:18">
      <c r="E152" s="45"/>
      <c r="G152" s="236"/>
    </row>
    <row r="153" spans="3:18">
      <c r="E153" s="45"/>
    </row>
    <row r="154" spans="3:18">
      <c r="E154" s="45"/>
    </row>
    <row r="155" spans="3:18">
      <c r="E155" s="45"/>
    </row>
    <row r="156" spans="3:18">
      <c r="E156" s="45"/>
    </row>
    <row r="157" spans="3:18">
      <c r="E157" s="45"/>
    </row>
    <row r="158" spans="3:18">
      <c r="E158" s="45"/>
    </row>
    <row r="159" spans="3:18">
      <c r="E159" s="45"/>
    </row>
  </sheetData>
  <mergeCells count="27">
    <mergeCell ref="B118:C129"/>
    <mergeCell ref="B131:D138"/>
    <mergeCell ref="D123:D125"/>
    <mergeCell ref="C53:C111"/>
    <mergeCell ref="D53:D56"/>
    <mergeCell ref="D63:D66"/>
    <mergeCell ref="B8:B116"/>
    <mergeCell ref="D118:D121"/>
    <mergeCell ref="D68:D71"/>
    <mergeCell ref="D73:D76"/>
    <mergeCell ref="D78:D81"/>
    <mergeCell ref="D83:D86"/>
    <mergeCell ref="D88:D91"/>
    <mergeCell ref="D93:D96"/>
    <mergeCell ref="D98:D101"/>
    <mergeCell ref="D103:D106"/>
    <mergeCell ref="D38:D41"/>
    <mergeCell ref="D43:D46"/>
    <mergeCell ref="B4:D6"/>
    <mergeCell ref="D58:D61"/>
    <mergeCell ref="D13:D16"/>
    <mergeCell ref="D18:D21"/>
    <mergeCell ref="D23:D26"/>
    <mergeCell ref="D28:D31"/>
    <mergeCell ref="D33:D36"/>
    <mergeCell ref="C8:C51"/>
    <mergeCell ref="D8:D11"/>
  </mergeCells>
  <conditionalFormatting sqref="F134:R134">
    <cfRule type="cellIs" dxfId="76" priority="16" operator="lessThan">
      <formula>F136</formula>
    </cfRule>
    <cfRule type="cellIs" dxfId="75" priority="45" stopIfTrue="1" operator="lessThan">
      <formula>0</formula>
    </cfRule>
  </conditionalFormatting>
  <conditionalFormatting sqref="F8:R8">
    <cfRule type="cellIs" dxfId="74" priority="42" stopIfTrue="1" operator="greaterThan">
      <formula>F10</formula>
    </cfRule>
  </conditionalFormatting>
  <conditionalFormatting sqref="F13:R13">
    <cfRule type="cellIs" dxfId="73" priority="39" stopIfTrue="1" operator="greaterThan">
      <formula>F15</formula>
    </cfRule>
  </conditionalFormatting>
  <conditionalFormatting sqref="F18:R18">
    <cfRule type="cellIs" dxfId="72" priority="38" stopIfTrue="1" operator="greaterThan">
      <formula>F20</formula>
    </cfRule>
  </conditionalFormatting>
  <conditionalFormatting sqref="F23:R23">
    <cfRule type="cellIs" dxfId="71" priority="37" stopIfTrue="1" operator="greaterThan">
      <formula>F25</formula>
    </cfRule>
  </conditionalFormatting>
  <conditionalFormatting sqref="F28:R28">
    <cfRule type="cellIs" dxfId="70" priority="36" stopIfTrue="1" operator="greaterThan">
      <formula>F30</formula>
    </cfRule>
  </conditionalFormatting>
  <conditionalFormatting sqref="F33:R33">
    <cfRule type="cellIs" dxfId="69" priority="35" stopIfTrue="1" operator="greaterThan">
      <formula>F35</formula>
    </cfRule>
  </conditionalFormatting>
  <conditionalFormatting sqref="F38:R38">
    <cfRule type="cellIs" dxfId="68" priority="34" stopIfTrue="1" operator="greaterThan">
      <formula>F40</formula>
    </cfRule>
  </conditionalFormatting>
  <conditionalFormatting sqref="F43:R43">
    <cfRule type="cellIs" dxfId="67" priority="33" stopIfTrue="1" operator="greaterThan">
      <formula>F45</formula>
    </cfRule>
  </conditionalFormatting>
  <conditionalFormatting sqref="F48:R48">
    <cfRule type="cellIs" dxfId="66" priority="32" stopIfTrue="1" operator="greaterThan">
      <formula>F50</formula>
    </cfRule>
  </conditionalFormatting>
  <conditionalFormatting sqref="G53:R53">
    <cfRule type="cellIs" dxfId="65" priority="31" stopIfTrue="1" operator="greaterThan">
      <formula>G55</formula>
    </cfRule>
  </conditionalFormatting>
  <conditionalFormatting sqref="G58:R58">
    <cfRule type="cellIs" dxfId="64" priority="30" stopIfTrue="1" operator="greaterThan">
      <formula>G60</formula>
    </cfRule>
  </conditionalFormatting>
  <conditionalFormatting sqref="F63:R63">
    <cfRule type="cellIs" dxfId="63" priority="29" stopIfTrue="1" operator="greaterThan">
      <formula>F65</formula>
    </cfRule>
  </conditionalFormatting>
  <conditionalFormatting sqref="F68:R68">
    <cfRule type="cellIs" dxfId="62" priority="28" stopIfTrue="1" operator="greaterThan">
      <formula>F70</formula>
    </cfRule>
  </conditionalFormatting>
  <conditionalFormatting sqref="F73:R73">
    <cfRule type="cellIs" dxfId="61" priority="27" stopIfTrue="1" operator="greaterThan">
      <formula>F75</formula>
    </cfRule>
  </conditionalFormatting>
  <conditionalFormatting sqref="F78:R78">
    <cfRule type="cellIs" dxfId="60" priority="26" stopIfTrue="1" operator="greaterThan">
      <formula>F80</formula>
    </cfRule>
  </conditionalFormatting>
  <conditionalFormatting sqref="F83:R83">
    <cfRule type="cellIs" dxfId="59" priority="25" stopIfTrue="1" operator="greaterThan">
      <formula>F85</formula>
    </cfRule>
  </conditionalFormatting>
  <conditionalFormatting sqref="F88:R88">
    <cfRule type="cellIs" dxfId="58" priority="24" stopIfTrue="1" operator="greaterThan">
      <formula>F90</formula>
    </cfRule>
  </conditionalFormatting>
  <conditionalFormatting sqref="F93:R93">
    <cfRule type="cellIs" dxfId="57" priority="23" stopIfTrue="1" operator="greaterThan">
      <formula>F95</formula>
    </cfRule>
  </conditionalFormatting>
  <conditionalFormatting sqref="F98:R98">
    <cfRule type="cellIs" dxfId="56" priority="22" stopIfTrue="1" operator="greaterThan">
      <formula>F100</formula>
    </cfRule>
  </conditionalFormatting>
  <conditionalFormatting sqref="F103:R103">
    <cfRule type="cellIs" dxfId="55" priority="21" stopIfTrue="1" operator="greaterThan">
      <formula>F105</formula>
    </cfRule>
  </conditionalFormatting>
  <conditionalFormatting sqref="F108:R108">
    <cfRule type="cellIs" dxfId="54" priority="20" stopIfTrue="1" operator="greaterThan">
      <formula>F110</formula>
    </cfRule>
  </conditionalFormatting>
  <conditionalFormatting sqref="F123:R123">
    <cfRule type="cellIs" dxfId="53" priority="46" operator="lessThan">
      <formula>F124</formula>
    </cfRule>
  </conditionalFormatting>
  <conditionalFormatting sqref="F113:R113">
    <cfRule type="cellIs" dxfId="52" priority="14" operator="greaterThan">
      <formula>F$115</formula>
    </cfRule>
  </conditionalFormatting>
  <conditionalFormatting sqref="F138:R138">
    <cfRule type="cellIs" dxfId="51" priority="13" operator="lessThan">
      <formula>F$136</formula>
    </cfRule>
  </conditionalFormatting>
  <conditionalFormatting sqref="F4:Q4">
    <cfRule type="cellIs" dxfId="50" priority="12" operator="lessThan">
      <formula>F$5</formula>
    </cfRule>
  </conditionalFormatting>
  <conditionalFormatting sqref="F138:Q138">
    <cfRule type="cellIs" dxfId="49" priority="11" operator="lessThan">
      <formula>0</formula>
    </cfRule>
  </conditionalFormatting>
  <conditionalFormatting sqref="R138">
    <cfRule type="cellIs" dxfId="48" priority="10" operator="lessThan">
      <formula>0</formula>
    </cfRule>
  </conditionalFormatting>
  <conditionalFormatting sqref="F129:R129">
    <cfRule type="cellIs" dxfId="47" priority="3" operator="lessThan">
      <formula>0</formula>
    </cfRule>
    <cfRule type="cellIs" dxfId="46" priority="9" operator="lessThan">
      <formula>0</formula>
    </cfRule>
  </conditionalFormatting>
  <conditionalFormatting sqref="F53">
    <cfRule type="cellIs" dxfId="45" priority="2" stopIfTrue="1" operator="greaterThan">
      <formula>F55</formula>
    </cfRule>
  </conditionalFormatting>
  <conditionalFormatting sqref="F58">
    <cfRule type="cellIs" dxfId="44" priority="1" stopIfTrue="1" operator="greaterThan">
      <formula>F60</formula>
    </cfRule>
  </conditionalFormatting>
  <hyperlinks>
    <hyperlink ref="C8:C51" location="'Despesa Fixa'!A1" display="Despesa Fixa (Ir para aba &quot;Despesa Fixa&quot;)" xr:uid="{00000000-0004-0000-0000-000000000000}"/>
    <hyperlink ref="C53:C111" location="Janeiro!A1" display="Variável            (ir para aba &quot;Janeiro&quot;)" xr:uid="{00000000-0004-0000-0000-000001000000}"/>
    <hyperlink ref="B118:C129" location="Investimentos!A1" display="Investimentos                 (ir para aba &quot;Investimentos&quot;)" xr:uid="{00000000-0004-0000-0000-000002000000}"/>
    <hyperlink ref="B131:D138" location="'Gráficos Resultado'!A1" display="Resultado                                        (ir para aba &quot;Resultado&quot;)" xr:uid="{00000000-0004-0000-0000-000003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Q9"/>
  <sheetViews>
    <sheetView showGridLines="0" showRowColHeaders="0" zoomScale="90" zoomScaleNormal="90" workbookViewId="0">
      <pane xSplit="4" ySplit="2" topLeftCell="E3" activePane="bottomRight" state="frozen"/>
      <selection pane="topRight" activeCell="E1" sqref="E1"/>
      <selection pane="bottomLeft" activeCell="A3" sqref="A3"/>
      <selection pane="bottomRight"/>
    </sheetView>
  </sheetViews>
  <sheetFormatPr defaultRowHeight="15"/>
  <cols>
    <col min="1" max="1" width="1.140625" customWidth="1"/>
    <col min="3" max="3" width="8.42578125" customWidth="1"/>
    <col min="4" max="4" width="43.7109375" bestFit="1" customWidth="1"/>
    <col min="5" max="16" width="13.85546875" bestFit="1" customWidth="1"/>
    <col min="17" max="17" width="15" bestFit="1" customWidth="1"/>
  </cols>
  <sheetData>
    <row r="2" spans="2:17" ht="15.75" thickBot="1">
      <c r="B2" s="37"/>
      <c r="C2" s="37"/>
      <c r="D2" s="46" t="s">
        <v>74</v>
      </c>
      <c r="E2" s="46" t="s">
        <v>0</v>
      </c>
      <c r="F2" s="46" t="s">
        <v>1</v>
      </c>
      <c r="G2" s="46" t="s">
        <v>2</v>
      </c>
      <c r="H2" s="46" t="s">
        <v>3</v>
      </c>
      <c r="I2" s="46" t="s">
        <v>4</v>
      </c>
      <c r="J2" s="46" t="s">
        <v>5</v>
      </c>
      <c r="K2" s="46" t="s">
        <v>6</v>
      </c>
      <c r="L2" s="46" t="s">
        <v>7</v>
      </c>
      <c r="M2" s="46" t="s">
        <v>8</v>
      </c>
      <c r="N2" s="46" t="s">
        <v>9</v>
      </c>
      <c r="O2" s="46" t="s">
        <v>10</v>
      </c>
      <c r="P2" s="46" t="s">
        <v>11</v>
      </c>
      <c r="Q2" s="46" t="s">
        <v>92</v>
      </c>
    </row>
    <row r="3" spans="2:17">
      <c r="B3" s="322" t="s">
        <v>137</v>
      </c>
      <c r="C3" s="323"/>
      <c r="D3" s="250" t="s">
        <v>177</v>
      </c>
      <c r="E3" s="248"/>
      <c r="F3" s="248"/>
      <c r="G3" s="248"/>
      <c r="H3" s="248"/>
      <c r="I3" s="248"/>
      <c r="J3" s="248"/>
      <c r="K3" s="248"/>
      <c r="L3" s="248"/>
      <c r="M3" s="248"/>
      <c r="N3" s="248"/>
      <c r="O3" s="248"/>
      <c r="P3" s="248"/>
      <c r="Q3" s="47">
        <f>SUM(E3:P3)</f>
        <v>0</v>
      </c>
    </row>
    <row r="4" spans="2:17">
      <c r="B4" s="324"/>
      <c r="C4" s="325"/>
      <c r="D4" s="251" t="s">
        <v>210</v>
      </c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49"/>
      <c r="Q4" s="48">
        <f t="shared" ref="Q4:Q8" si="0">SUM(E4:P4)</f>
        <v>0</v>
      </c>
    </row>
    <row r="5" spans="2:17">
      <c r="B5" s="324"/>
      <c r="C5" s="325"/>
      <c r="D5" s="251" t="s">
        <v>211</v>
      </c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49"/>
      <c r="Q5" s="48">
        <f t="shared" si="0"/>
        <v>0</v>
      </c>
    </row>
    <row r="6" spans="2:17">
      <c r="B6" s="324"/>
      <c r="C6" s="325"/>
      <c r="D6" s="252" t="s">
        <v>213</v>
      </c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49"/>
      <c r="Q6" s="48">
        <f t="shared" si="0"/>
        <v>0</v>
      </c>
    </row>
    <row r="7" spans="2:17">
      <c r="B7" s="324"/>
      <c r="C7" s="325"/>
      <c r="D7" s="251" t="s">
        <v>52</v>
      </c>
      <c r="E7" s="249"/>
      <c r="F7" s="249"/>
      <c r="G7" s="249"/>
      <c r="H7" s="249"/>
      <c r="I7" s="249"/>
      <c r="J7" s="249"/>
      <c r="K7" s="249"/>
      <c r="L7" s="249"/>
      <c r="M7" s="249"/>
      <c r="N7" s="249"/>
      <c r="O7" s="249"/>
      <c r="P7" s="249"/>
      <c r="Q7" s="48">
        <f t="shared" si="0"/>
        <v>0</v>
      </c>
    </row>
    <row r="8" spans="2:17">
      <c r="B8" s="324"/>
      <c r="C8" s="325"/>
      <c r="D8" s="251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48">
        <f t="shared" si="0"/>
        <v>0</v>
      </c>
    </row>
    <row r="9" spans="2:17" ht="15.75" thickBot="1">
      <c r="B9" s="326"/>
      <c r="C9" s="327"/>
      <c r="D9" s="140" t="s">
        <v>138</v>
      </c>
      <c r="E9" s="141">
        <f t="shared" ref="E9:P9" si="1">SUM(E3:E8)</f>
        <v>0</v>
      </c>
      <c r="F9" s="141">
        <f t="shared" si="1"/>
        <v>0</v>
      </c>
      <c r="G9" s="141">
        <f t="shared" si="1"/>
        <v>0</v>
      </c>
      <c r="H9" s="141">
        <f t="shared" si="1"/>
        <v>0</v>
      </c>
      <c r="I9" s="141">
        <f t="shared" si="1"/>
        <v>0</v>
      </c>
      <c r="J9" s="141">
        <f t="shared" si="1"/>
        <v>0</v>
      </c>
      <c r="K9" s="141">
        <f t="shared" si="1"/>
        <v>0</v>
      </c>
      <c r="L9" s="141">
        <f t="shared" si="1"/>
        <v>0</v>
      </c>
      <c r="M9" s="141">
        <f t="shared" si="1"/>
        <v>0</v>
      </c>
      <c r="N9" s="141">
        <f t="shared" si="1"/>
        <v>0</v>
      </c>
      <c r="O9" s="141">
        <f t="shared" si="1"/>
        <v>0</v>
      </c>
      <c r="P9" s="141">
        <f t="shared" si="1"/>
        <v>0</v>
      </c>
      <c r="Q9" s="142">
        <f>SUM(E9:P9)</f>
        <v>0</v>
      </c>
    </row>
  </sheetData>
  <mergeCells count="1">
    <mergeCell ref="B3:C9"/>
  </mergeCells>
  <conditionalFormatting sqref="E9:P9">
    <cfRule type="cellIs" dxfId="43" priority="44" operator="lessThan">
      <formula>#REF!</formula>
    </cfRule>
  </conditionalFormatting>
  <conditionalFormatting sqref="D3:D8">
    <cfRule type="notContainsBlanks" dxfId="42" priority="2">
      <formula>LEN(TRIM(D3))&gt;0</formula>
    </cfRule>
  </conditionalFormatting>
  <conditionalFormatting sqref="E3:P8">
    <cfRule type="notContainsBlanks" dxfId="41" priority="1">
      <formula>LEN(TRIM(E3))&gt;0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8"/>
  <dimension ref="B2:N35"/>
  <sheetViews>
    <sheetView showGridLines="0" showRowColHeaders="0" zoomScale="90" zoomScaleNormal="90" workbookViewId="0"/>
  </sheetViews>
  <sheetFormatPr defaultRowHeight="15"/>
  <cols>
    <col min="1" max="1" width="4.42578125" customWidth="1"/>
  </cols>
  <sheetData>
    <row r="2" spans="2:3">
      <c r="B2" t="s">
        <v>178</v>
      </c>
      <c r="C2">
        <v>6000</v>
      </c>
    </row>
    <row r="3" spans="2:3">
      <c r="B3" t="s">
        <v>0</v>
      </c>
      <c r="C3">
        <f>$C$2</f>
        <v>6000</v>
      </c>
    </row>
    <row r="4" spans="2:3">
      <c r="B4" t="s">
        <v>1</v>
      </c>
      <c r="C4">
        <f t="shared" ref="C4:C14" si="0">$C$2</f>
        <v>6000</v>
      </c>
    </row>
    <row r="5" spans="2:3">
      <c r="B5" t="s">
        <v>2</v>
      </c>
      <c r="C5">
        <f t="shared" si="0"/>
        <v>6000</v>
      </c>
    </row>
    <row r="6" spans="2:3">
      <c r="B6" t="s">
        <v>3</v>
      </c>
      <c r="C6">
        <f t="shared" si="0"/>
        <v>6000</v>
      </c>
    </row>
    <row r="7" spans="2:3">
      <c r="B7" t="s">
        <v>4</v>
      </c>
      <c r="C7">
        <f t="shared" si="0"/>
        <v>6000</v>
      </c>
    </row>
    <row r="8" spans="2:3">
      <c r="B8" t="s">
        <v>5</v>
      </c>
      <c r="C8">
        <f t="shared" si="0"/>
        <v>6000</v>
      </c>
    </row>
    <row r="9" spans="2:3">
      <c r="B9" t="s">
        <v>6</v>
      </c>
      <c r="C9">
        <f t="shared" si="0"/>
        <v>6000</v>
      </c>
    </row>
    <row r="10" spans="2:3">
      <c r="B10" t="s">
        <v>7</v>
      </c>
      <c r="C10">
        <f t="shared" si="0"/>
        <v>6000</v>
      </c>
    </row>
    <row r="11" spans="2:3">
      <c r="B11" t="s">
        <v>8</v>
      </c>
      <c r="C11">
        <f t="shared" si="0"/>
        <v>6000</v>
      </c>
    </row>
    <row r="12" spans="2:3">
      <c r="B12" t="s">
        <v>9</v>
      </c>
      <c r="C12">
        <f t="shared" si="0"/>
        <v>6000</v>
      </c>
    </row>
    <row r="13" spans="2:3">
      <c r="B13" t="s">
        <v>10</v>
      </c>
      <c r="C13">
        <f t="shared" si="0"/>
        <v>6000</v>
      </c>
    </row>
    <row r="14" spans="2:3">
      <c r="B14" t="s">
        <v>11</v>
      </c>
      <c r="C14">
        <f t="shared" si="0"/>
        <v>6000</v>
      </c>
    </row>
    <row r="20" spans="11:14">
      <c r="N20" s="15"/>
    </row>
    <row r="21" spans="11:14">
      <c r="N21" s="15"/>
    </row>
    <row r="32" spans="11:14">
      <c r="K32" s="15"/>
    </row>
    <row r="34" spans="2:2">
      <c r="B34" s="23"/>
    </row>
    <row r="35" spans="2:2">
      <c r="B35" s="23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9</xdr:col>
                    <xdr:colOff>190500</xdr:colOff>
                    <xdr:row>18</xdr:row>
                    <xdr:rowOff>47625</xdr:rowOff>
                  </from>
                  <to>
                    <xdr:col>12</xdr:col>
                    <xdr:colOff>314325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Spinner 9">
              <controlPr defaultSize="0" autoPict="0">
                <anchor moveWithCells="1" sizeWithCells="1">
                  <from>
                    <xdr:col>15</xdr:col>
                    <xdr:colOff>133350</xdr:colOff>
                    <xdr:row>1</xdr:row>
                    <xdr:rowOff>85725</xdr:rowOff>
                  </from>
                  <to>
                    <xdr:col>16</xdr:col>
                    <xdr:colOff>133350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2:AJ55"/>
  <sheetViews>
    <sheetView topLeftCell="W1" zoomScale="80" zoomScaleNormal="80" workbookViewId="0">
      <selection activeCell="Y9" sqref="Y9"/>
    </sheetView>
  </sheetViews>
  <sheetFormatPr defaultRowHeight="15"/>
  <cols>
    <col min="2" max="2" width="11.85546875" bestFit="1" customWidth="1"/>
    <col min="3" max="3" width="12.28515625" bestFit="1" customWidth="1"/>
    <col min="4" max="9" width="10.5703125" bestFit="1" customWidth="1"/>
    <col min="14" max="14" width="10.5703125" bestFit="1" customWidth="1"/>
    <col min="22" max="22" width="22.140625" customWidth="1"/>
    <col min="23" max="23" width="27" customWidth="1"/>
    <col min="24" max="24" width="13.5703125" customWidth="1"/>
    <col min="25" max="25" width="12.7109375" customWidth="1"/>
    <col min="26" max="26" width="12.42578125" customWidth="1"/>
    <col min="27" max="27" width="13.85546875" customWidth="1"/>
    <col min="28" max="28" width="16.42578125" customWidth="1"/>
    <col min="29" max="34" width="14.5703125" customWidth="1"/>
    <col min="35" max="35" width="21.85546875" customWidth="1"/>
    <col min="36" max="36" width="22.85546875" customWidth="1"/>
    <col min="37" max="37" width="20.42578125" customWidth="1"/>
    <col min="38" max="38" width="19" customWidth="1"/>
    <col min="39" max="39" width="19.5703125" customWidth="1"/>
    <col min="40" max="40" width="18.85546875" customWidth="1"/>
    <col min="41" max="41" width="18.5703125" customWidth="1"/>
    <col min="42" max="42" width="20" customWidth="1"/>
    <col min="43" max="43" width="22.5703125" customWidth="1"/>
    <col min="44" max="44" width="20.5703125" customWidth="1"/>
    <col min="45" max="45" width="20.42578125" customWidth="1"/>
    <col min="46" max="46" width="19" customWidth="1"/>
    <col min="47" max="47" width="19.5703125" customWidth="1"/>
    <col min="48" max="48" width="18.85546875" customWidth="1"/>
    <col min="49" max="49" width="18.5703125" customWidth="1"/>
    <col min="50" max="50" width="20" customWidth="1"/>
    <col min="51" max="51" width="22.5703125" customWidth="1"/>
    <col min="52" max="52" width="20.5703125" customWidth="1"/>
    <col min="53" max="53" width="19.5703125" customWidth="1"/>
    <col min="54" max="54" width="18.85546875" customWidth="1"/>
    <col min="55" max="55" width="18.5703125" customWidth="1"/>
    <col min="56" max="56" width="20" customWidth="1"/>
    <col min="57" max="57" width="22.5703125" customWidth="1"/>
    <col min="58" max="58" width="20.5703125" customWidth="1"/>
    <col min="59" max="59" width="19.28515625" customWidth="1"/>
    <col min="60" max="60" width="20.7109375" customWidth="1"/>
    <col min="61" max="61" width="23.28515625" customWidth="1"/>
    <col min="62" max="62" width="21.42578125" customWidth="1"/>
    <col min="63" max="63" width="20.42578125" customWidth="1"/>
    <col min="64" max="64" width="19" customWidth="1"/>
    <col min="65" max="65" width="19.5703125" customWidth="1"/>
    <col min="66" max="66" width="18.85546875" customWidth="1"/>
    <col min="67" max="67" width="18.5703125" customWidth="1"/>
    <col min="68" max="68" width="20" customWidth="1"/>
    <col min="69" max="69" width="22.5703125" customWidth="1"/>
    <col min="70" max="71" width="20.5703125" customWidth="1"/>
    <col min="72" max="72" width="19.5703125" customWidth="1"/>
    <col min="73" max="73" width="19.28515625" customWidth="1"/>
    <col min="74" max="74" width="20.7109375" customWidth="1"/>
    <col min="75" max="75" width="23.28515625" customWidth="1"/>
    <col min="76" max="76" width="21.42578125" customWidth="1"/>
    <col min="77" max="77" width="19.5703125" customWidth="1"/>
    <col min="78" max="78" width="18.85546875" customWidth="1"/>
    <col min="79" max="79" width="18.5703125" customWidth="1"/>
    <col min="80" max="80" width="20" customWidth="1"/>
    <col min="81" max="81" width="22.5703125" customWidth="1"/>
    <col min="82" max="82" width="20.5703125" customWidth="1"/>
    <col min="83" max="83" width="25.42578125" customWidth="1"/>
    <col min="84" max="84" width="28.42578125" customWidth="1"/>
    <col min="85" max="85" width="28.140625" customWidth="1"/>
    <col min="86" max="86" width="21.28515625" customWidth="1"/>
    <col min="87" max="87" width="24.28515625" customWidth="1"/>
    <col min="88" max="88" width="24.140625" customWidth="1"/>
    <col min="89" max="89" width="25.42578125" customWidth="1"/>
    <col min="90" max="90" width="28.42578125" customWidth="1"/>
    <col min="91" max="91" width="28.140625" customWidth="1"/>
    <col min="92" max="92" width="21.28515625" customWidth="1"/>
    <col min="93" max="93" width="24.28515625" customWidth="1"/>
    <col min="94" max="94" width="24.140625" customWidth="1"/>
    <col min="95" max="95" width="25.42578125" customWidth="1"/>
    <col min="96" max="96" width="28.42578125" customWidth="1"/>
    <col min="97" max="97" width="28.140625" customWidth="1"/>
    <col min="98" max="98" width="21.28515625" customWidth="1"/>
    <col min="99" max="99" width="24.28515625" customWidth="1"/>
    <col min="100" max="100" width="24.140625" customWidth="1"/>
    <col min="101" max="101" width="25.42578125" customWidth="1"/>
    <col min="102" max="102" width="28.42578125" customWidth="1"/>
    <col min="103" max="103" width="28.140625" customWidth="1"/>
    <col min="104" max="104" width="20.42578125" customWidth="1"/>
    <col min="105" max="105" width="23.5703125" customWidth="1"/>
    <col min="106" max="106" width="23.42578125" customWidth="1"/>
    <col min="107" max="107" width="25.42578125" customWidth="1"/>
    <col min="108" max="108" width="26.7109375" customWidth="1"/>
    <col min="109" max="109" width="28.42578125" customWidth="1"/>
    <col min="110" max="110" width="28.140625" customWidth="1"/>
    <col min="111" max="111" width="21.28515625" customWidth="1"/>
    <col min="112" max="112" width="22.5703125" customWidth="1"/>
    <col min="113" max="113" width="24.28515625" customWidth="1"/>
    <col min="114" max="114" width="24.140625" customWidth="1"/>
    <col min="115" max="115" width="25.42578125" customWidth="1"/>
    <col min="116" max="116" width="26.7109375" customWidth="1"/>
    <col min="117" max="117" width="28.42578125" customWidth="1"/>
    <col min="118" max="118" width="28.140625" customWidth="1"/>
    <col min="119" max="119" width="25.42578125" customWidth="1"/>
    <col min="120" max="120" width="26.7109375" customWidth="1"/>
    <col min="121" max="121" width="28.42578125" customWidth="1"/>
    <col min="122" max="122" width="28.140625" customWidth="1"/>
    <col min="123" max="123" width="20.42578125" customWidth="1"/>
    <col min="124" max="124" width="21.85546875" customWidth="1"/>
    <col min="125" max="125" width="23.5703125" customWidth="1"/>
    <col min="126" max="126" width="23.42578125" customWidth="1"/>
    <col min="127" max="127" width="28.140625" customWidth="1"/>
    <col min="128" max="128" width="21.28515625" customWidth="1"/>
    <col min="129" max="129" width="23.5703125" customWidth="1"/>
    <col min="130" max="130" width="22.5703125" customWidth="1"/>
    <col min="131" max="131" width="24.28515625" customWidth="1"/>
    <col min="132" max="132" width="24.140625" customWidth="1"/>
    <col min="133" max="133" width="25.42578125" customWidth="1"/>
    <col min="134" max="134" width="27.7109375" customWidth="1"/>
    <col min="135" max="135" width="26.7109375" customWidth="1"/>
    <col min="136" max="136" width="28.42578125" customWidth="1"/>
    <col min="137" max="137" width="28.140625" customWidth="1"/>
    <col min="138" max="138" width="20.42578125" customWidth="1"/>
    <col min="139" max="139" width="22.85546875" customWidth="1"/>
    <col min="140" max="140" width="21.85546875" customWidth="1"/>
    <col min="141" max="141" width="23.5703125" customWidth="1"/>
    <col min="142" max="142" width="23.42578125" customWidth="1"/>
    <col min="143" max="143" width="19" customWidth="1"/>
    <col min="144" max="144" width="20.42578125" customWidth="1"/>
    <col min="145" max="145" width="22.85546875" customWidth="1"/>
    <col min="146" max="146" width="21.85546875" customWidth="1"/>
    <col min="147" max="147" width="23.5703125" customWidth="1"/>
    <col min="148" max="148" width="23.42578125" customWidth="1"/>
    <col min="149" max="149" width="24.42578125" bestFit="1" customWidth="1"/>
    <col min="150" max="150" width="23.85546875" customWidth="1"/>
    <col min="151" max="151" width="25.42578125" customWidth="1"/>
    <col min="152" max="152" width="27.7109375" customWidth="1"/>
    <col min="153" max="153" width="26.7109375" customWidth="1"/>
    <col min="154" max="154" width="28.42578125" customWidth="1"/>
    <col min="155" max="155" width="28.140625" customWidth="1"/>
    <col min="156" max="156" width="19.5703125" customWidth="1"/>
    <col min="157" max="157" width="19" customWidth="1"/>
    <col min="158" max="158" width="20.42578125" customWidth="1"/>
    <col min="159" max="159" width="22.85546875" bestFit="1" customWidth="1"/>
    <col min="160" max="160" width="21.85546875" bestFit="1" customWidth="1"/>
    <col min="161" max="161" width="23.5703125" bestFit="1" customWidth="1"/>
    <col min="162" max="162" width="23.42578125" bestFit="1" customWidth="1"/>
    <col min="163" max="163" width="22.85546875" bestFit="1" customWidth="1"/>
    <col min="164" max="164" width="21.85546875" bestFit="1" customWidth="1"/>
    <col min="165" max="165" width="23.5703125" bestFit="1" customWidth="1"/>
    <col min="166" max="166" width="23.42578125" bestFit="1" customWidth="1"/>
  </cols>
  <sheetData>
    <row r="2" spans="2:36" ht="15.75" thickBot="1"/>
    <row r="3" spans="2:36" ht="15.75" thickBot="1">
      <c r="B3" s="26" t="s">
        <v>103</v>
      </c>
      <c r="C3" s="9" t="s">
        <v>12</v>
      </c>
      <c r="D3" s="8" t="s">
        <v>13</v>
      </c>
      <c r="E3" s="8" t="s">
        <v>16</v>
      </c>
      <c r="F3" s="8" t="s">
        <v>14</v>
      </c>
      <c r="G3" s="8" t="s">
        <v>15</v>
      </c>
      <c r="H3" s="8" t="s">
        <v>52</v>
      </c>
      <c r="I3" s="43" t="s">
        <v>83</v>
      </c>
      <c r="W3" t="s">
        <v>103</v>
      </c>
      <c r="X3" t="s">
        <v>22</v>
      </c>
      <c r="Y3" t="s">
        <v>25</v>
      </c>
      <c r="Z3" t="s">
        <v>39</v>
      </c>
      <c r="AA3" t="s">
        <v>23</v>
      </c>
      <c r="AB3" t="s">
        <v>45</v>
      </c>
      <c r="AC3" t="s">
        <v>58</v>
      </c>
      <c r="AD3" t="s">
        <v>49</v>
      </c>
      <c r="AE3" t="s">
        <v>106</v>
      </c>
      <c r="AF3" t="s">
        <v>68</v>
      </c>
      <c r="AG3" t="s">
        <v>107</v>
      </c>
      <c r="AH3" t="s">
        <v>52</v>
      </c>
      <c r="AJ3" t="s">
        <v>92</v>
      </c>
    </row>
    <row r="4" spans="2:36" ht="15.75" thickBot="1">
      <c r="B4" s="26" t="s">
        <v>0</v>
      </c>
      <c r="C4" s="10">
        <f>Receita!$E$3</f>
        <v>0</v>
      </c>
      <c r="D4" s="10">
        <f>Receita!$E4</f>
        <v>0</v>
      </c>
      <c r="E4" s="10">
        <f>Receita!$E5</f>
        <v>0</v>
      </c>
      <c r="F4" s="10">
        <f>Receita!$E6</f>
        <v>0</v>
      </c>
      <c r="G4" s="10">
        <f>Receita!$E7</f>
        <v>0</v>
      </c>
      <c r="H4" s="10">
        <f>Receita!$E8</f>
        <v>0</v>
      </c>
      <c r="I4" s="28">
        <f>Geral!F$123</f>
        <v>0</v>
      </c>
      <c r="W4" t="s">
        <v>0</v>
      </c>
      <c r="X4" s="7">
        <f>Geral!$F$8+Geral!$F$53</f>
        <v>0</v>
      </c>
      <c r="Y4" s="7">
        <f>Geral!F$13+Geral!F$58</f>
        <v>0</v>
      </c>
      <c r="Z4" s="7">
        <f>Geral!F68+Geral!F23</f>
        <v>0</v>
      </c>
      <c r="AA4" s="7">
        <f>Geral!$F$18+Geral!$F$63</f>
        <v>0</v>
      </c>
      <c r="AB4" s="7">
        <f>Geral!$F$28+Geral!$F$73</f>
        <v>0</v>
      </c>
      <c r="AC4" s="7">
        <f>Geral!$F$33+Geral!$F$78</f>
        <v>0</v>
      </c>
      <c r="AD4" s="7">
        <f>Geral!$F$38</f>
        <v>0</v>
      </c>
      <c r="AE4" s="7">
        <f>Geral!$F$83</f>
        <v>0</v>
      </c>
      <c r="AF4" s="7">
        <f>Geral!$F$93</f>
        <v>0</v>
      </c>
      <c r="AG4" s="7">
        <f>Geral!$F$98</f>
        <v>0</v>
      </c>
      <c r="AH4" s="7">
        <f>Geral!$F$43+Geral!$F$103</f>
        <v>0</v>
      </c>
      <c r="AI4" s="7"/>
      <c r="AJ4" s="7">
        <f t="shared" ref="AJ4:AJ16" si="0">SUM(X4:AI4)</f>
        <v>0</v>
      </c>
    </row>
    <row r="5" spans="2:36" ht="15.75" thickBot="1">
      <c r="B5" s="26" t="s">
        <v>1</v>
      </c>
      <c r="C5" s="10">
        <f>Receita!$F$3</f>
        <v>0</v>
      </c>
      <c r="D5" s="10">
        <f>Receita!$F$4</f>
        <v>0</v>
      </c>
      <c r="E5" s="10">
        <f>Receita!$F$5</f>
        <v>0</v>
      </c>
      <c r="F5" s="10">
        <f>Receita!$F$6</f>
        <v>0</v>
      </c>
      <c r="G5" s="10">
        <f>Receita!$F$7</f>
        <v>0</v>
      </c>
      <c r="H5" s="10">
        <f>Receita!$F$8</f>
        <v>0</v>
      </c>
      <c r="I5" s="28">
        <f>Geral!G$123</f>
        <v>0</v>
      </c>
      <c r="W5" t="s">
        <v>1</v>
      </c>
      <c r="X5" s="7">
        <f>Geral!$G$8+Geral!$G$53</f>
        <v>0</v>
      </c>
      <c r="Y5" s="7">
        <f>Geral!G$13+Geral!G$58</f>
        <v>0</v>
      </c>
      <c r="Z5" s="7">
        <f>Geral!$G$23+Geral!$G$68</f>
        <v>0</v>
      </c>
      <c r="AA5" s="7">
        <f>Geral!$G$18+Geral!$G$63</f>
        <v>0</v>
      </c>
      <c r="AB5" s="7">
        <f>Geral!$G$28+Geral!$G$73</f>
        <v>0</v>
      </c>
      <c r="AC5" s="7">
        <f>Geral!$G$33+Geral!$G$78</f>
        <v>0</v>
      </c>
      <c r="AD5" s="7">
        <f>Geral!$G$38</f>
        <v>0</v>
      </c>
      <c r="AE5" s="7">
        <f>Geral!$G$83</f>
        <v>0</v>
      </c>
      <c r="AF5" s="7">
        <f>Geral!$G$93</f>
        <v>0</v>
      </c>
      <c r="AG5" s="7">
        <f>Geral!$G$98</f>
        <v>0</v>
      </c>
      <c r="AH5" s="7">
        <f>Geral!$G$43+Geral!$G$103</f>
        <v>0</v>
      </c>
      <c r="AI5" s="7"/>
      <c r="AJ5" s="7">
        <f t="shared" si="0"/>
        <v>0</v>
      </c>
    </row>
    <row r="6" spans="2:36" ht="15.75" thickBot="1">
      <c r="B6" s="26" t="s">
        <v>2</v>
      </c>
      <c r="C6" s="10">
        <f>Receita!$G$3</f>
        <v>0</v>
      </c>
      <c r="D6" s="10">
        <f>Receita!$G$4</f>
        <v>0</v>
      </c>
      <c r="E6" s="10">
        <f>Receita!$G$5</f>
        <v>0</v>
      </c>
      <c r="F6" s="10">
        <f>Receita!$G$6</f>
        <v>0</v>
      </c>
      <c r="G6" s="10">
        <f>Receita!$G$7</f>
        <v>0</v>
      </c>
      <c r="H6" s="10">
        <f>Receita!$G$8</f>
        <v>0</v>
      </c>
      <c r="I6" s="28">
        <f>Geral!H$123</f>
        <v>0</v>
      </c>
      <c r="W6" t="s">
        <v>2</v>
      </c>
      <c r="X6" s="7">
        <f>Geral!$H$8+Geral!$H$53</f>
        <v>0</v>
      </c>
      <c r="Y6" s="7">
        <f>Geral!H$13+Geral!H$58</f>
        <v>0</v>
      </c>
      <c r="Z6" s="7">
        <f>Geral!$H$23+Geral!$H$68</f>
        <v>0</v>
      </c>
      <c r="AA6" s="7">
        <f>Geral!$H$18+Geral!$H$63</f>
        <v>0</v>
      </c>
      <c r="AB6" s="7">
        <f>Geral!$H$28+Geral!$H$73</f>
        <v>0</v>
      </c>
      <c r="AC6" s="7">
        <f>Geral!$H$33+Geral!$H$78</f>
        <v>0</v>
      </c>
      <c r="AD6" s="7">
        <f>Geral!$H$38</f>
        <v>0</v>
      </c>
      <c r="AE6" s="7">
        <f>Geral!$H$83</f>
        <v>0</v>
      </c>
      <c r="AF6" s="7">
        <f>Geral!$H$93</f>
        <v>0</v>
      </c>
      <c r="AG6" s="7">
        <f>Geral!$H$98</f>
        <v>0</v>
      </c>
      <c r="AH6" s="7">
        <f>Geral!$H$43+Geral!$H$103</f>
        <v>0</v>
      </c>
      <c r="AI6" s="7"/>
      <c r="AJ6" s="7">
        <f t="shared" si="0"/>
        <v>0</v>
      </c>
    </row>
    <row r="7" spans="2:36" ht="15.75" thickBot="1">
      <c r="B7" s="26" t="s">
        <v>3</v>
      </c>
      <c r="C7" s="10">
        <f>Receita!$H$3</f>
        <v>0</v>
      </c>
      <c r="D7" s="10">
        <f>Receita!$H$4</f>
        <v>0</v>
      </c>
      <c r="E7" s="10">
        <f>Receita!$H$5</f>
        <v>0</v>
      </c>
      <c r="F7" s="10">
        <f>Receita!$H$6</f>
        <v>0</v>
      </c>
      <c r="G7" s="10">
        <f>Receita!$H$7</f>
        <v>0</v>
      </c>
      <c r="H7" s="10">
        <f>Receita!$H$8</f>
        <v>0</v>
      </c>
      <c r="I7" s="28">
        <f>Geral!I$123</f>
        <v>0</v>
      </c>
      <c r="W7" t="s">
        <v>3</v>
      </c>
      <c r="X7" s="7">
        <f>Geral!$I$8+Geral!$I$53</f>
        <v>0</v>
      </c>
      <c r="Y7" s="7">
        <f>Geral!I$13+Geral!I$58</f>
        <v>0</v>
      </c>
      <c r="Z7" s="7">
        <f>Geral!$I$23+Geral!$I$68</f>
        <v>0</v>
      </c>
      <c r="AA7" s="7">
        <f>Geral!$I$18+Geral!$I$63</f>
        <v>0</v>
      </c>
      <c r="AB7" s="7">
        <f>Geral!$I$28+Geral!$I$73</f>
        <v>0</v>
      </c>
      <c r="AC7" s="7">
        <f>Geral!$I$33+Geral!$I$78</f>
        <v>0</v>
      </c>
      <c r="AD7" s="7">
        <f>Geral!$I$38</f>
        <v>0</v>
      </c>
      <c r="AE7" s="7">
        <f>Geral!$I$83</f>
        <v>0</v>
      </c>
      <c r="AF7" s="7">
        <f>Geral!$I$93</f>
        <v>0</v>
      </c>
      <c r="AG7" s="7">
        <f>Geral!$I$98</f>
        <v>0</v>
      </c>
      <c r="AH7" s="7">
        <f>Geral!$I$43+Geral!$I$103</f>
        <v>0</v>
      </c>
      <c r="AI7" s="7"/>
      <c r="AJ7" s="7">
        <f t="shared" si="0"/>
        <v>0</v>
      </c>
    </row>
    <row r="8" spans="2:36" ht="15.75" thickBot="1">
      <c r="B8" s="26" t="s">
        <v>4</v>
      </c>
      <c r="C8" s="10">
        <f>Receita!$I$3</f>
        <v>0</v>
      </c>
      <c r="D8" s="10">
        <f>Receita!$I$4</f>
        <v>0</v>
      </c>
      <c r="E8" s="10">
        <f>Receita!$I$5</f>
        <v>0</v>
      </c>
      <c r="F8" s="10">
        <f>Receita!$I$6</f>
        <v>0</v>
      </c>
      <c r="G8" s="10">
        <f>Receita!$I$7</f>
        <v>0</v>
      </c>
      <c r="H8" s="10">
        <f>Receita!$I$8</f>
        <v>0</v>
      </c>
      <c r="I8" s="28">
        <f>Geral!J$123</f>
        <v>0</v>
      </c>
      <c r="W8" t="s">
        <v>4</v>
      </c>
      <c r="X8" s="7">
        <f>Geral!$J$8+Geral!$J$53</f>
        <v>0</v>
      </c>
      <c r="Y8" s="7">
        <f>Geral!J$13+Geral!J$58</f>
        <v>0</v>
      </c>
      <c r="Z8" s="7">
        <f>Geral!$J$23+Geral!$J$68</f>
        <v>0</v>
      </c>
      <c r="AA8" s="7">
        <f>Geral!$J$18+Geral!$J$63</f>
        <v>0</v>
      </c>
      <c r="AB8" s="7">
        <f>Geral!$J$28+Geral!$J$73</f>
        <v>0</v>
      </c>
      <c r="AC8" s="7">
        <f>Geral!$J$33+Geral!$J$78</f>
        <v>0</v>
      </c>
      <c r="AD8" s="7">
        <f>Geral!$J$38</f>
        <v>0</v>
      </c>
      <c r="AE8" s="7">
        <f>Geral!$J$83</f>
        <v>0</v>
      </c>
      <c r="AF8" s="7">
        <f>Geral!$J$93</f>
        <v>0</v>
      </c>
      <c r="AG8" s="7">
        <f>Geral!$J$98</f>
        <v>0</v>
      </c>
      <c r="AH8" s="7">
        <f>Geral!$J$43+Geral!$J$103</f>
        <v>0</v>
      </c>
      <c r="AI8" s="7"/>
      <c r="AJ8" s="7">
        <f t="shared" si="0"/>
        <v>0</v>
      </c>
    </row>
    <row r="9" spans="2:36" ht="15.75" thickBot="1">
      <c r="B9" s="26" t="s">
        <v>5</v>
      </c>
      <c r="C9" s="10">
        <f>Receita!$J$3</f>
        <v>0</v>
      </c>
      <c r="D9" s="10">
        <f>Receita!$J$4</f>
        <v>0</v>
      </c>
      <c r="E9" s="10">
        <f>Receita!$J$5</f>
        <v>0</v>
      </c>
      <c r="F9" s="10">
        <f>Receita!$J$6</f>
        <v>0</v>
      </c>
      <c r="G9" s="10">
        <f>Receita!$J$7</f>
        <v>0</v>
      </c>
      <c r="H9" s="10">
        <f>Receita!$J$8</f>
        <v>0</v>
      </c>
      <c r="I9" s="28">
        <f>Geral!K$123</f>
        <v>0</v>
      </c>
      <c r="W9" t="s">
        <v>5</v>
      </c>
      <c r="X9" s="7">
        <f>Geral!$K$8+Geral!$K$53</f>
        <v>0</v>
      </c>
      <c r="Y9" s="7">
        <f>Geral!K$13+Geral!K$58</f>
        <v>0</v>
      </c>
      <c r="Z9" s="7">
        <f>Geral!$K$23+Geral!$K$68</f>
        <v>0</v>
      </c>
      <c r="AA9" s="7">
        <f>Geral!$K$18+Geral!$K$63</f>
        <v>0</v>
      </c>
      <c r="AB9" s="7">
        <f>Geral!$K$28+Geral!$K$73</f>
        <v>0</v>
      </c>
      <c r="AC9" s="7">
        <f>Geral!$K$33+Geral!$K$78</f>
        <v>0</v>
      </c>
      <c r="AD9" s="7">
        <f>Geral!$K$38</f>
        <v>0</v>
      </c>
      <c r="AE9" s="7">
        <f>Geral!$K$83</f>
        <v>0</v>
      </c>
      <c r="AF9" s="7">
        <f>Geral!$K$93</f>
        <v>0</v>
      </c>
      <c r="AG9" s="7">
        <f>Geral!$K$98</f>
        <v>0</v>
      </c>
      <c r="AH9" s="7">
        <f>Geral!$K$43+Geral!$K$103</f>
        <v>0</v>
      </c>
      <c r="AI9" s="7"/>
      <c r="AJ9" s="7">
        <f t="shared" si="0"/>
        <v>0</v>
      </c>
    </row>
    <row r="10" spans="2:36" ht="15.75" thickBot="1">
      <c r="B10" s="26" t="s">
        <v>6</v>
      </c>
      <c r="C10" s="10">
        <f>Receita!$K$3</f>
        <v>0</v>
      </c>
      <c r="D10" s="10">
        <f>Receita!$K$4</f>
        <v>0</v>
      </c>
      <c r="E10" s="10">
        <f>Receita!$K$5</f>
        <v>0</v>
      </c>
      <c r="F10" s="10">
        <f>Receita!$K$6</f>
        <v>0</v>
      </c>
      <c r="G10" s="10">
        <f>Receita!$K$7</f>
        <v>0</v>
      </c>
      <c r="H10" s="10">
        <f>Receita!$K$8</f>
        <v>0</v>
      </c>
      <c r="I10" s="28">
        <f>Geral!L$123</f>
        <v>0</v>
      </c>
      <c r="W10" t="s">
        <v>6</v>
      </c>
      <c r="X10" s="7">
        <f>Geral!$L$8+Geral!$L$53</f>
        <v>0</v>
      </c>
      <c r="Y10" s="7">
        <f>Geral!L$13+Geral!L$58</f>
        <v>0</v>
      </c>
      <c r="Z10" s="7">
        <f>Geral!$L$23+Geral!$L$68</f>
        <v>0</v>
      </c>
      <c r="AA10" s="7">
        <f>Geral!$L$18+Geral!$L$63</f>
        <v>0</v>
      </c>
      <c r="AB10" s="7">
        <f>Geral!$L$28+Geral!$L$73</f>
        <v>0</v>
      </c>
      <c r="AC10" s="7">
        <f>Geral!$L$33+Geral!$L$78</f>
        <v>0</v>
      </c>
      <c r="AD10" s="7">
        <f>Geral!$L$38</f>
        <v>0</v>
      </c>
      <c r="AE10" s="7">
        <f>Geral!$L$83</f>
        <v>0</v>
      </c>
      <c r="AF10" s="7">
        <f>Geral!$L$93</f>
        <v>0</v>
      </c>
      <c r="AG10" s="7">
        <f>Geral!$L$98</f>
        <v>0</v>
      </c>
      <c r="AH10" s="7">
        <f>Geral!$L$43+Geral!$L$103</f>
        <v>0</v>
      </c>
      <c r="AI10" s="7"/>
      <c r="AJ10" s="7">
        <f t="shared" si="0"/>
        <v>0</v>
      </c>
    </row>
    <row r="11" spans="2:36" ht="15.75" thickBot="1">
      <c r="B11" s="26" t="s">
        <v>7</v>
      </c>
      <c r="C11" s="10">
        <f>Receita!$L$3</f>
        <v>0</v>
      </c>
      <c r="D11" s="10">
        <f>Receita!$L$4</f>
        <v>0</v>
      </c>
      <c r="E11" s="10">
        <f>Receita!$L$5</f>
        <v>0</v>
      </c>
      <c r="F11" s="10">
        <f>Receita!$L$6</f>
        <v>0</v>
      </c>
      <c r="G11" s="10">
        <f>Receita!$L$7</f>
        <v>0</v>
      </c>
      <c r="H11" s="10">
        <f>Receita!$L$8</f>
        <v>0</v>
      </c>
      <c r="I11" s="28">
        <f>Geral!M$123</f>
        <v>0</v>
      </c>
      <c r="W11" t="s">
        <v>7</v>
      </c>
      <c r="X11" s="7">
        <f>Geral!$M$8+Geral!$M$53</f>
        <v>0</v>
      </c>
      <c r="Y11" s="7">
        <f>Geral!M$13+Geral!M$58</f>
        <v>0</v>
      </c>
      <c r="Z11" s="7">
        <f>Geral!$M$23+Geral!$M$68</f>
        <v>0</v>
      </c>
      <c r="AA11" s="7">
        <f>Geral!$M$18+Geral!$M$63</f>
        <v>0</v>
      </c>
      <c r="AB11" s="7">
        <f>Geral!$M$28+Geral!$M$73</f>
        <v>0</v>
      </c>
      <c r="AC11" s="7">
        <f>Geral!$M$33+Geral!$M$78</f>
        <v>0</v>
      </c>
      <c r="AD11" s="7">
        <f>Geral!$M$38</f>
        <v>0</v>
      </c>
      <c r="AE11" s="7">
        <f>Geral!$M$83</f>
        <v>0</v>
      </c>
      <c r="AF11" s="7">
        <f>Geral!$M$93</f>
        <v>0</v>
      </c>
      <c r="AG11" s="7">
        <f>Geral!$M$98</f>
        <v>0</v>
      </c>
      <c r="AH11" s="7">
        <f>Geral!$M$43+Geral!$M$103</f>
        <v>0</v>
      </c>
      <c r="AI11" s="7"/>
      <c r="AJ11" s="7">
        <f t="shared" si="0"/>
        <v>0</v>
      </c>
    </row>
    <row r="12" spans="2:36" ht="15.75" thickBot="1">
      <c r="B12" s="26" t="s">
        <v>8</v>
      </c>
      <c r="C12" s="10">
        <f>Receita!$M$3</f>
        <v>0</v>
      </c>
      <c r="D12" s="10">
        <f>Receita!$M$4</f>
        <v>0</v>
      </c>
      <c r="E12" s="10">
        <f>Receita!$M$5</f>
        <v>0</v>
      </c>
      <c r="F12" s="10">
        <f>Receita!$M$6</f>
        <v>0</v>
      </c>
      <c r="G12" s="10">
        <f>Receita!$M$7</f>
        <v>0</v>
      </c>
      <c r="H12" s="10">
        <f>Receita!$M$8</f>
        <v>0</v>
      </c>
      <c r="I12" s="28">
        <f>Geral!N$123</f>
        <v>0</v>
      </c>
      <c r="W12" t="s">
        <v>8</v>
      </c>
      <c r="X12" s="7">
        <f>Geral!$N$8+Geral!$N$53</f>
        <v>0</v>
      </c>
      <c r="Y12" s="7">
        <f>Geral!N$13+Geral!N$58</f>
        <v>0</v>
      </c>
      <c r="Z12" s="7">
        <f>Geral!$N$23+Geral!$N$68</f>
        <v>0</v>
      </c>
      <c r="AA12" s="7">
        <f>Geral!$N$18+Geral!$N$63</f>
        <v>0</v>
      </c>
      <c r="AB12" s="7">
        <f>Geral!$N$28+Geral!$N$73</f>
        <v>0</v>
      </c>
      <c r="AC12" s="7">
        <f>Geral!$N$33+Geral!$N$78</f>
        <v>0</v>
      </c>
      <c r="AD12" s="7">
        <f>Geral!$N$38</f>
        <v>0</v>
      </c>
      <c r="AE12" s="7">
        <f>Geral!$N$83</f>
        <v>0</v>
      </c>
      <c r="AF12" s="7">
        <f>Geral!$N$93</f>
        <v>0</v>
      </c>
      <c r="AG12" s="7">
        <f>Geral!$N$98</f>
        <v>0</v>
      </c>
      <c r="AH12" s="7">
        <f>Geral!$N$43+Geral!$N$103</f>
        <v>0</v>
      </c>
      <c r="AI12" s="7"/>
      <c r="AJ12" s="7">
        <f t="shared" si="0"/>
        <v>0</v>
      </c>
    </row>
    <row r="13" spans="2:36" ht="15.75" thickBot="1">
      <c r="B13" s="26" t="s">
        <v>9</v>
      </c>
      <c r="C13" s="10">
        <f>Receita!$N$3</f>
        <v>0</v>
      </c>
      <c r="D13" s="10">
        <f>Receita!$N$4</f>
        <v>0</v>
      </c>
      <c r="E13" s="10">
        <f>Receita!$N$5</f>
        <v>0</v>
      </c>
      <c r="F13" s="10">
        <f>Receita!$N$6</f>
        <v>0</v>
      </c>
      <c r="G13" s="10">
        <f>Receita!$N$7</f>
        <v>0</v>
      </c>
      <c r="H13" s="10">
        <f>Receita!$N$8</f>
        <v>0</v>
      </c>
      <c r="I13" s="28">
        <f>Geral!O$123</f>
        <v>0</v>
      </c>
      <c r="W13" t="s">
        <v>9</v>
      </c>
      <c r="X13" s="7">
        <f>Geral!$O$8+Geral!$O$53</f>
        <v>0</v>
      </c>
      <c r="Y13" s="7">
        <f>Geral!O$13+Geral!O$58</f>
        <v>0</v>
      </c>
      <c r="Z13" s="7">
        <f>Geral!$O$23+Geral!$O$68</f>
        <v>0</v>
      </c>
      <c r="AA13" s="7">
        <f>Geral!$O$18+Geral!$O$63</f>
        <v>0</v>
      </c>
      <c r="AB13" s="7">
        <f>Geral!$O$28+Geral!$O$73</f>
        <v>0</v>
      </c>
      <c r="AC13" s="7">
        <f>Geral!$O$33+Geral!$O$78</f>
        <v>0</v>
      </c>
      <c r="AD13" s="7">
        <f>Geral!$O$38</f>
        <v>0</v>
      </c>
      <c r="AE13" s="7">
        <f>Geral!$O$83</f>
        <v>0</v>
      </c>
      <c r="AF13" s="7">
        <f>Geral!$O$93</f>
        <v>0</v>
      </c>
      <c r="AG13" s="7">
        <f>Geral!$O$98</f>
        <v>0</v>
      </c>
      <c r="AH13" s="7">
        <f>Geral!$O$43+Geral!$O$103</f>
        <v>0</v>
      </c>
      <c r="AI13" s="7"/>
      <c r="AJ13" s="7">
        <f t="shared" si="0"/>
        <v>0</v>
      </c>
    </row>
    <row r="14" spans="2:36" ht="15.75" thickBot="1">
      <c r="B14" s="26" t="s">
        <v>10</v>
      </c>
      <c r="C14" s="10">
        <f>Receita!$O$3</f>
        <v>0</v>
      </c>
      <c r="D14" s="10">
        <f>Receita!$O$4</f>
        <v>0</v>
      </c>
      <c r="E14" s="10">
        <f>Receita!$O$5</f>
        <v>0</v>
      </c>
      <c r="F14" s="10">
        <f>Receita!$O$6</f>
        <v>0</v>
      </c>
      <c r="G14" s="10">
        <f>Receita!$O$7</f>
        <v>0</v>
      </c>
      <c r="H14" s="10">
        <f>Receita!$O$8</f>
        <v>0</v>
      </c>
      <c r="I14" s="28">
        <f>Geral!P$123</f>
        <v>0</v>
      </c>
      <c r="W14" t="s">
        <v>10</v>
      </c>
      <c r="X14" s="7">
        <f>Geral!$P$8+Geral!$P$53</f>
        <v>0</v>
      </c>
      <c r="Y14" s="7">
        <f>Geral!P$13+Geral!P$58</f>
        <v>0</v>
      </c>
      <c r="Z14" s="7">
        <f>Geral!$P$23+Geral!$P$68</f>
        <v>0</v>
      </c>
      <c r="AA14" s="7">
        <f>Geral!$P$18+Geral!$P$63</f>
        <v>0</v>
      </c>
      <c r="AB14" s="7">
        <f>Geral!$P$28+Geral!$P$73</f>
        <v>0</v>
      </c>
      <c r="AC14" s="7">
        <f>Geral!$P$33+Geral!$P$78</f>
        <v>0</v>
      </c>
      <c r="AD14" s="7">
        <f>Geral!$P$38</f>
        <v>0</v>
      </c>
      <c r="AE14" s="7">
        <f>Geral!$P$83</f>
        <v>0</v>
      </c>
      <c r="AF14" s="7">
        <f>Geral!$P$93</f>
        <v>0</v>
      </c>
      <c r="AG14" s="7">
        <f>Geral!$P$98</f>
        <v>0</v>
      </c>
      <c r="AH14" s="7">
        <f>Geral!$P$43+Geral!$P$103</f>
        <v>0</v>
      </c>
      <c r="AI14" s="7"/>
      <c r="AJ14" s="7">
        <f t="shared" si="0"/>
        <v>0</v>
      </c>
    </row>
    <row r="15" spans="2:36" ht="15.75" thickBot="1">
      <c r="B15" s="26" t="s">
        <v>11</v>
      </c>
      <c r="C15" s="10">
        <f>Receita!$P$3</f>
        <v>0</v>
      </c>
      <c r="D15" s="10">
        <f>Receita!$P$4</f>
        <v>0</v>
      </c>
      <c r="E15" s="10">
        <f>Receita!$P$5</f>
        <v>0</v>
      </c>
      <c r="F15" s="10">
        <f>Receita!$P$6</f>
        <v>0</v>
      </c>
      <c r="G15" s="10">
        <f>Receita!$P$7</f>
        <v>0</v>
      </c>
      <c r="H15" s="10">
        <f>Receita!$P$8</f>
        <v>0</v>
      </c>
      <c r="I15" s="28">
        <f>Geral!Q$123</f>
        <v>0</v>
      </c>
      <c r="L15">
        <v>4</v>
      </c>
      <c r="W15" t="s">
        <v>11</v>
      </c>
      <c r="X15" s="7">
        <f>Geral!$Q$8+Geral!$Q$53</f>
        <v>0</v>
      </c>
      <c r="Y15" s="7">
        <f>Geral!Q$13+Geral!Q$58</f>
        <v>0</v>
      </c>
      <c r="Z15" s="7">
        <f>Geral!$Q$23+Geral!$Q$68</f>
        <v>0</v>
      </c>
      <c r="AA15" s="7">
        <f>Geral!$Q$18+Geral!$Q$63</f>
        <v>0</v>
      </c>
      <c r="AB15" s="7">
        <f>Geral!$Q$28+Geral!$Q$73</f>
        <v>0</v>
      </c>
      <c r="AC15" s="7">
        <f>Geral!$Q$33+Geral!$Q$78</f>
        <v>0</v>
      </c>
      <c r="AD15" s="7">
        <f>Geral!$Q$38</f>
        <v>0</v>
      </c>
      <c r="AE15" s="7">
        <f>Geral!$Q$83</f>
        <v>0</v>
      </c>
      <c r="AF15" s="7">
        <f>Geral!$Q$93</f>
        <v>0</v>
      </c>
      <c r="AG15" s="7">
        <f>Geral!$Q$98</f>
        <v>0</v>
      </c>
      <c r="AH15" s="7">
        <f>Geral!$Q$43+Geral!$Q$103</f>
        <v>0</v>
      </c>
      <c r="AI15" s="7"/>
      <c r="AJ15" s="7">
        <f t="shared" si="0"/>
        <v>0</v>
      </c>
    </row>
    <row r="16" spans="2:36">
      <c r="B16" s="26" t="s">
        <v>92</v>
      </c>
      <c r="C16" s="10">
        <f>Receita!$E$3</f>
        <v>0</v>
      </c>
      <c r="D16" s="25">
        <f t="shared" ref="D16:I16" si="1">SUM(D4:D15)</f>
        <v>0</v>
      </c>
      <c r="E16" s="25">
        <f t="shared" si="1"/>
        <v>0</v>
      </c>
      <c r="F16" s="25">
        <f t="shared" si="1"/>
        <v>0</v>
      </c>
      <c r="G16" s="25">
        <f t="shared" si="1"/>
        <v>0</v>
      </c>
      <c r="H16" s="25">
        <f t="shared" si="1"/>
        <v>0</v>
      </c>
      <c r="I16" s="40">
        <f t="shared" si="1"/>
        <v>0</v>
      </c>
      <c r="W16" t="s">
        <v>92</v>
      </c>
      <c r="X16" s="7">
        <f t="shared" ref="X16:AH16" si="2">SUM(X4:X15)</f>
        <v>0</v>
      </c>
      <c r="Y16" s="7">
        <f t="shared" si="2"/>
        <v>0</v>
      </c>
      <c r="Z16" s="7">
        <f t="shared" si="2"/>
        <v>0</v>
      </c>
      <c r="AA16" s="7">
        <f t="shared" si="2"/>
        <v>0</v>
      </c>
      <c r="AB16" s="7">
        <f t="shared" si="2"/>
        <v>0</v>
      </c>
      <c r="AC16" s="7">
        <f t="shared" si="2"/>
        <v>0</v>
      </c>
      <c r="AD16" s="7">
        <f t="shared" si="2"/>
        <v>0</v>
      </c>
      <c r="AE16" s="7">
        <f t="shared" si="2"/>
        <v>0</v>
      </c>
      <c r="AF16" s="7">
        <f t="shared" si="2"/>
        <v>0</v>
      </c>
      <c r="AG16" s="7">
        <f t="shared" si="2"/>
        <v>0</v>
      </c>
      <c r="AH16" s="7">
        <f t="shared" si="2"/>
        <v>0</v>
      </c>
      <c r="AI16" s="7"/>
      <c r="AJ16" s="7">
        <f t="shared" si="0"/>
        <v>0</v>
      </c>
    </row>
    <row r="17" spans="2:35" ht="15.75" thickBot="1">
      <c r="C17">
        <v>2</v>
      </c>
      <c r="D17">
        <v>3</v>
      </c>
      <c r="E17">
        <v>4</v>
      </c>
      <c r="F17">
        <v>5</v>
      </c>
      <c r="G17">
        <v>6</v>
      </c>
      <c r="H17">
        <v>7</v>
      </c>
      <c r="I17">
        <v>8</v>
      </c>
      <c r="X17">
        <v>2</v>
      </c>
      <c r="Y17">
        <v>3</v>
      </c>
      <c r="Z17">
        <v>4</v>
      </c>
      <c r="AA17">
        <v>5</v>
      </c>
      <c r="AB17">
        <v>6</v>
      </c>
      <c r="AC17">
        <v>7</v>
      </c>
      <c r="AD17">
        <v>8</v>
      </c>
      <c r="AE17">
        <v>9</v>
      </c>
      <c r="AF17">
        <v>10</v>
      </c>
      <c r="AG17">
        <v>11</v>
      </c>
      <c r="AH17">
        <v>12</v>
      </c>
    </row>
    <row r="18" spans="2:35">
      <c r="B18" t="str">
        <f>INDEX(B4:B16,L15)</f>
        <v>Abril</v>
      </c>
      <c r="C18" s="9" t="s">
        <v>12</v>
      </c>
      <c r="D18" s="8" t="s">
        <v>13</v>
      </c>
      <c r="E18" s="8" t="s">
        <v>16</v>
      </c>
      <c r="F18" s="8" t="s">
        <v>14</v>
      </c>
      <c r="G18" s="8" t="s">
        <v>15</v>
      </c>
      <c r="H18" s="8" t="s">
        <v>52</v>
      </c>
      <c r="I18" s="43" t="s">
        <v>83</v>
      </c>
      <c r="W18" t="str">
        <f>INDEX(W4:W15,X22)</f>
        <v>Outubro</v>
      </c>
      <c r="X18" t="s">
        <v>22</v>
      </c>
      <c r="Y18" t="s">
        <v>25</v>
      </c>
      <c r="Z18" t="s">
        <v>39</v>
      </c>
      <c r="AA18" t="s">
        <v>23</v>
      </c>
      <c r="AB18" t="s">
        <v>45</v>
      </c>
      <c r="AC18" t="s">
        <v>58</v>
      </c>
      <c r="AD18" t="s">
        <v>49</v>
      </c>
      <c r="AE18" t="s">
        <v>106</v>
      </c>
      <c r="AF18" t="s">
        <v>68</v>
      </c>
      <c r="AG18" t="s">
        <v>107</v>
      </c>
      <c r="AH18" t="s">
        <v>52</v>
      </c>
    </row>
    <row r="19" spans="2:35">
      <c r="C19" s="147">
        <f>VLOOKUP($B$18,$B$3:$I$16,C$17,0)</f>
        <v>0</v>
      </c>
      <c r="D19" s="147">
        <f>VLOOKUP($B$18,$B$3:$I$16,D$17,0)</f>
        <v>0</v>
      </c>
      <c r="E19" s="147">
        <f t="shared" ref="E19:I19" si="3">VLOOKUP($B$18,$B$3:$I$16,E$17,0)</f>
        <v>0</v>
      </c>
      <c r="F19" s="147">
        <f t="shared" si="3"/>
        <v>0</v>
      </c>
      <c r="G19" s="147">
        <f t="shared" si="3"/>
        <v>0</v>
      </c>
      <c r="H19" s="147">
        <f t="shared" si="3"/>
        <v>0</v>
      </c>
      <c r="I19" s="147">
        <f t="shared" si="3"/>
        <v>0</v>
      </c>
      <c r="J19" s="146" t="e">
        <f t="shared" ref="J19:N19" si="4">VLOOKUP($B$7,$A$11:$N$20,J$6,0)</f>
        <v>#N/A</v>
      </c>
      <c r="K19" s="146" t="e">
        <f t="shared" si="4"/>
        <v>#N/A</v>
      </c>
      <c r="L19" s="146" t="e">
        <f t="shared" si="4"/>
        <v>#N/A</v>
      </c>
      <c r="M19" s="146" t="e">
        <f t="shared" si="4"/>
        <v>#N/A</v>
      </c>
      <c r="N19" s="146" t="e">
        <f t="shared" si="4"/>
        <v>#N/A</v>
      </c>
      <c r="X19" s="42">
        <f>VLOOKUP($W$18,$W$4:$AH$15,X17,0)</f>
        <v>0</v>
      </c>
      <c r="Y19" s="42">
        <f t="shared" ref="Y19:AH19" si="5">VLOOKUP($W$18,$W$4:$AH$15,Y17,0)</f>
        <v>0</v>
      </c>
      <c r="Z19" s="42">
        <f t="shared" si="5"/>
        <v>0</v>
      </c>
      <c r="AA19" s="42">
        <f t="shared" si="5"/>
        <v>0</v>
      </c>
      <c r="AB19" s="42">
        <f t="shared" si="5"/>
        <v>0</v>
      </c>
      <c r="AC19" s="42">
        <f t="shared" si="5"/>
        <v>0</v>
      </c>
      <c r="AD19" s="42">
        <f t="shared" si="5"/>
        <v>0</v>
      </c>
      <c r="AE19" s="42">
        <f t="shared" si="5"/>
        <v>0</v>
      </c>
      <c r="AF19" s="42">
        <f t="shared" si="5"/>
        <v>0</v>
      </c>
      <c r="AG19" s="42">
        <f t="shared" si="5"/>
        <v>0</v>
      </c>
      <c r="AH19" s="42">
        <f t="shared" si="5"/>
        <v>0</v>
      </c>
    </row>
    <row r="22" spans="2:35">
      <c r="X22">
        <v>10</v>
      </c>
    </row>
    <row r="27" spans="2:35">
      <c r="AA27" s="7"/>
    </row>
    <row r="30" spans="2:35">
      <c r="V30" t="s">
        <v>105</v>
      </c>
      <c r="W30" t="s">
        <v>0</v>
      </c>
      <c r="X30" t="s">
        <v>1</v>
      </c>
      <c r="Y30" t="s">
        <v>2</v>
      </c>
      <c r="Z30" t="s">
        <v>3</v>
      </c>
      <c r="AA30" t="s">
        <v>4</v>
      </c>
      <c r="AB30" t="s">
        <v>5</v>
      </c>
      <c r="AC30" t="s">
        <v>6</v>
      </c>
      <c r="AD30" t="s">
        <v>7</v>
      </c>
      <c r="AE30" t="s">
        <v>8</v>
      </c>
      <c r="AF30" t="s">
        <v>9</v>
      </c>
      <c r="AG30" t="s">
        <v>10</v>
      </c>
      <c r="AH30" t="s">
        <v>11</v>
      </c>
      <c r="AI30" t="s">
        <v>92</v>
      </c>
    </row>
    <row r="31" spans="2:35">
      <c r="V31" t="s">
        <v>22</v>
      </c>
      <c r="W31" s="7">
        <f>Geral!$F$8+Geral!$F$53</f>
        <v>0</v>
      </c>
      <c r="X31" s="7">
        <f>Geral!$G$8+Geral!$G$53</f>
        <v>0</v>
      </c>
      <c r="Y31" s="7">
        <f>Geral!$H$8+Geral!$H$53</f>
        <v>0</v>
      </c>
      <c r="Z31" s="7">
        <f>Geral!$I$8+Geral!$I$53</f>
        <v>0</v>
      </c>
      <c r="AA31" s="7">
        <f>Geral!$J$8+Geral!$J$53</f>
        <v>0</v>
      </c>
      <c r="AB31" s="7">
        <f>Geral!$K$8+Geral!$K$53</f>
        <v>0</v>
      </c>
      <c r="AC31" s="7">
        <f>Geral!$L$8+Geral!$L$53</f>
        <v>0</v>
      </c>
      <c r="AD31" s="7">
        <f>Geral!$M$8+Geral!$M$53</f>
        <v>0</v>
      </c>
      <c r="AE31" s="7">
        <f>Geral!$N$8+Geral!$N$53</f>
        <v>0</v>
      </c>
      <c r="AF31" s="7">
        <f>Geral!$O$8+Geral!$O$53</f>
        <v>0</v>
      </c>
      <c r="AG31" s="7">
        <f>Geral!$P$8+Geral!$P$53</f>
        <v>0</v>
      </c>
      <c r="AH31" s="7">
        <f>Geral!$Q$8+Geral!$Q$53</f>
        <v>0</v>
      </c>
      <c r="AI31" s="7">
        <f>SUM(W31:AH31)</f>
        <v>0</v>
      </c>
    </row>
    <row r="32" spans="2:35">
      <c r="V32" t="s">
        <v>39</v>
      </c>
      <c r="W32" s="42" t="e">
        <f>Geral!$F$9+Geral!$F$54</f>
        <v>#VALUE!</v>
      </c>
      <c r="X32" s="7">
        <f>Geral!$G$23+Geral!$G$68</f>
        <v>0</v>
      </c>
      <c r="Y32" s="7">
        <f>Geral!$H$23+Geral!$H$68</f>
        <v>0</v>
      </c>
      <c r="Z32" s="7">
        <f>Geral!$I$23+Geral!$I$68</f>
        <v>0</v>
      </c>
      <c r="AA32" s="7">
        <f>Geral!$J$23+Geral!$J$68</f>
        <v>0</v>
      </c>
      <c r="AB32" s="7">
        <f>Geral!$K$23+Geral!$K$68</f>
        <v>0</v>
      </c>
      <c r="AC32" s="7">
        <f>Geral!$L$23+Geral!$L$68</f>
        <v>0</v>
      </c>
      <c r="AD32" s="7">
        <f>Geral!$M$23+Geral!$M$68</f>
        <v>0</v>
      </c>
      <c r="AE32" s="7">
        <f>Geral!$N$23+Geral!$N$68</f>
        <v>0</v>
      </c>
      <c r="AF32" s="7">
        <f>Geral!$O$23+Geral!$O$68</f>
        <v>0</v>
      </c>
      <c r="AG32" s="7">
        <f>Geral!$P$23+Geral!$P$68</f>
        <v>0</v>
      </c>
      <c r="AH32" s="7">
        <f>Geral!$Q$23+Geral!$Q$68</f>
        <v>0</v>
      </c>
      <c r="AI32" s="7" t="e">
        <f t="shared" ref="AI32:AI40" si="6">SUM(W32:AH32)</f>
        <v>#VALUE!</v>
      </c>
    </row>
    <row r="33" spans="2:35">
      <c r="V33" t="s">
        <v>23</v>
      </c>
      <c r="W33" s="7">
        <f>Geral!$F$12+Geral!$F$58</f>
        <v>0</v>
      </c>
      <c r="X33" s="7">
        <f>Geral!$G$18+Geral!$G$63</f>
        <v>0</v>
      </c>
      <c r="Y33" s="7">
        <f>Geral!$H$18+Geral!$H$63</f>
        <v>0</v>
      </c>
      <c r="Z33" s="7">
        <f>Geral!$I$18+Geral!$I$63</f>
        <v>0</v>
      </c>
      <c r="AA33" s="7">
        <f>Geral!$J$18+Geral!$J$63</f>
        <v>0</v>
      </c>
      <c r="AB33" s="7">
        <f>Geral!$K$18+Geral!$K$63</f>
        <v>0</v>
      </c>
      <c r="AC33" s="7">
        <f>Geral!$L$18+Geral!$L$63</f>
        <v>0</v>
      </c>
      <c r="AD33" s="7">
        <f>Geral!$M$18+Geral!$M$63</f>
        <v>0</v>
      </c>
      <c r="AE33" s="7">
        <f>Geral!$N$18+Geral!$N$63</f>
        <v>0</v>
      </c>
      <c r="AF33" s="7">
        <f>Geral!$O$18+Geral!$O$63</f>
        <v>0</v>
      </c>
      <c r="AG33" s="7">
        <f>Geral!$P$18+Geral!$P$63</f>
        <v>0</v>
      </c>
      <c r="AH33" s="7">
        <f>Geral!$Q$18+Geral!$Q$63</f>
        <v>0</v>
      </c>
      <c r="AI33" s="7">
        <f t="shared" si="6"/>
        <v>0</v>
      </c>
    </row>
    <row r="34" spans="2:35" ht="15.75" thickBot="1">
      <c r="B34" s="26" t="s">
        <v>74</v>
      </c>
      <c r="C34" s="26" t="s">
        <v>0</v>
      </c>
      <c r="D34" s="26" t="s">
        <v>1</v>
      </c>
      <c r="E34" s="26" t="s">
        <v>2</v>
      </c>
      <c r="F34" s="26" t="s">
        <v>3</v>
      </c>
      <c r="G34" s="26" t="s">
        <v>4</v>
      </c>
      <c r="H34" s="26" t="s">
        <v>5</v>
      </c>
      <c r="I34" s="26" t="s">
        <v>6</v>
      </c>
      <c r="J34" s="26" t="s">
        <v>7</v>
      </c>
      <c r="K34" s="26" t="s">
        <v>8</v>
      </c>
      <c r="L34" s="26" t="s">
        <v>9</v>
      </c>
      <c r="M34" s="26" t="s">
        <v>10</v>
      </c>
      <c r="N34" s="26" t="s">
        <v>11</v>
      </c>
      <c r="O34" s="26" t="s">
        <v>92</v>
      </c>
      <c r="V34" t="s">
        <v>45</v>
      </c>
      <c r="W34" s="7">
        <f>Geral!$F$28+Geral!$F$73</f>
        <v>0</v>
      </c>
      <c r="X34" s="7">
        <f>Geral!$G$28+Geral!$G$73</f>
        <v>0</v>
      </c>
      <c r="Y34" s="7">
        <f>Geral!$H$28+Geral!$H$73</f>
        <v>0</v>
      </c>
      <c r="Z34" s="7">
        <f>Geral!$I$28+Geral!$I$73</f>
        <v>0</v>
      </c>
      <c r="AA34" s="7">
        <f>Geral!$J$28+Geral!$J$73</f>
        <v>0</v>
      </c>
      <c r="AB34" s="7">
        <f>Geral!$K$28+Geral!$K$73</f>
        <v>0</v>
      </c>
      <c r="AC34" s="7">
        <f>Geral!$L$28+Geral!$L$73</f>
        <v>0</v>
      </c>
      <c r="AD34" s="7">
        <f>Geral!$M$28+Geral!$M$73</f>
        <v>0</v>
      </c>
      <c r="AE34" s="7">
        <f>Geral!$N$28+Geral!$N$73</f>
        <v>0</v>
      </c>
      <c r="AF34" s="7">
        <f>Geral!$O$28+Geral!$O$73</f>
        <v>0</v>
      </c>
      <c r="AG34" s="7">
        <f>Geral!$P$28+Geral!$P$73</f>
        <v>0</v>
      </c>
      <c r="AH34" s="7">
        <f>Geral!$Q$28+Geral!$Q$73</f>
        <v>0</v>
      </c>
      <c r="AI34" s="7">
        <f t="shared" si="6"/>
        <v>0</v>
      </c>
    </row>
    <row r="35" spans="2:35">
      <c r="B35" s="9" t="s">
        <v>12</v>
      </c>
      <c r="C35" s="10">
        <v>200</v>
      </c>
      <c r="D35" s="10">
        <v>200</v>
      </c>
      <c r="E35" s="10">
        <v>200</v>
      </c>
      <c r="F35" s="10">
        <v>200</v>
      </c>
      <c r="G35" s="10">
        <v>200</v>
      </c>
      <c r="H35" s="10">
        <v>200</v>
      </c>
      <c r="I35" s="10">
        <v>200</v>
      </c>
      <c r="J35" s="10">
        <v>200</v>
      </c>
      <c r="K35" s="10">
        <v>200</v>
      </c>
      <c r="L35" s="10">
        <v>200</v>
      </c>
      <c r="M35" s="10">
        <v>200</v>
      </c>
      <c r="N35" s="10">
        <v>200</v>
      </c>
      <c r="O35" s="24">
        <f>SUM(C35:N35)</f>
        <v>2400</v>
      </c>
      <c r="V35" t="s">
        <v>58</v>
      </c>
      <c r="W35" s="7">
        <f>Geral!$F$33+Geral!$F$78</f>
        <v>0</v>
      </c>
      <c r="X35" s="7">
        <f>Geral!$G$33+Geral!$G$78</f>
        <v>0</v>
      </c>
      <c r="Y35" s="7">
        <f>Geral!$H$33+Geral!$H$78</f>
        <v>0</v>
      </c>
      <c r="Z35" s="7">
        <f>Geral!$I$33+Geral!$I$78</f>
        <v>0</v>
      </c>
      <c r="AA35" s="7">
        <f>Geral!$J$33+Geral!$J$78</f>
        <v>0</v>
      </c>
      <c r="AB35" s="7">
        <f>Geral!$K$33+Geral!$K$78</f>
        <v>0</v>
      </c>
      <c r="AC35" s="7">
        <f>Geral!$L$33+Geral!$L$78</f>
        <v>0</v>
      </c>
      <c r="AD35" s="7">
        <f>Geral!$M$33+Geral!$M$78</f>
        <v>0</v>
      </c>
      <c r="AE35" s="7">
        <f>Geral!$N$33+Geral!$N$78</f>
        <v>0</v>
      </c>
      <c r="AF35" s="7">
        <f>Geral!$O$33+Geral!$O$78</f>
        <v>0</v>
      </c>
      <c r="AG35" s="7">
        <f>Geral!$P$33+Geral!$P$78</f>
        <v>0</v>
      </c>
      <c r="AH35" s="7">
        <f>Geral!$Q$33+Geral!$Q$78</f>
        <v>0</v>
      </c>
      <c r="AI35" s="7">
        <f t="shared" si="6"/>
        <v>0</v>
      </c>
    </row>
    <row r="36" spans="2:35">
      <c r="B36" s="8" t="s">
        <v>13</v>
      </c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25">
        <f t="shared" ref="O36:O40" si="7">SUM(C36:N36)</f>
        <v>0</v>
      </c>
      <c r="V36" t="s">
        <v>49</v>
      </c>
      <c r="W36" s="7">
        <f>Geral!$F$38</f>
        <v>0</v>
      </c>
      <c r="X36" s="7">
        <f>Geral!$G$38</f>
        <v>0</v>
      </c>
      <c r="Y36" s="7">
        <f>Geral!$H$38</f>
        <v>0</v>
      </c>
      <c r="Z36" s="7">
        <f>Geral!$I$38</f>
        <v>0</v>
      </c>
      <c r="AA36" s="7">
        <f>Geral!$J$38</f>
        <v>0</v>
      </c>
      <c r="AB36" s="7">
        <f>Geral!$K$38</f>
        <v>0</v>
      </c>
      <c r="AC36" s="7">
        <f>Geral!$L$38</f>
        <v>0</v>
      </c>
      <c r="AD36" s="7">
        <f>Geral!$M$38</f>
        <v>0</v>
      </c>
      <c r="AE36" s="7">
        <f>Geral!$N$38</f>
        <v>0</v>
      </c>
      <c r="AF36" s="7">
        <f>Geral!$O$38</f>
        <v>0</v>
      </c>
      <c r="AG36" s="7">
        <f>Geral!$P$38</f>
        <v>0</v>
      </c>
      <c r="AH36" s="7">
        <f>Geral!$Q$38</f>
        <v>0</v>
      </c>
      <c r="AI36" s="7">
        <f t="shared" si="6"/>
        <v>0</v>
      </c>
    </row>
    <row r="37" spans="2:35">
      <c r="B37" s="8" t="s">
        <v>16</v>
      </c>
      <c r="C37" s="6"/>
      <c r="D37" s="6">
        <v>10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25">
        <f t="shared" si="7"/>
        <v>10</v>
      </c>
      <c r="V37" t="s">
        <v>106</v>
      </c>
      <c r="W37" s="7">
        <f>Geral!$F$83</f>
        <v>0</v>
      </c>
      <c r="X37" s="7">
        <f>Geral!$G$83</f>
        <v>0</v>
      </c>
      <c r="Y37" s="7">
        <f>Geral!$H$83</f>
        <v>0</v>
      </c>
      <c r="Z37" s="7">
        <f>Geral!$I$83</f>
        <v>0</v>
      </c>
      <c r="AA37" s="7">
        <f>Geral!$J$83</f>
        <v>0</v>
      </c>
      <c r="AB37" s="7">
        <f>Geral!$K$83</f>
        <v>0</v>
      </c>
      <c r="AC37" s="7">
        <f>Geral!$L$83</f>
        <v>0</v>
      </c>
      <c r="AD37" s="7">
        <f>Geral!$M$83</f>
        <v>0</v>
      </c>
      <c r="AE37" s="7">
        <f>Geral!$N$83</f>
        <v>0</v>
      </c>
      <c r="AF37" s="7">
        <f>Geral!$O$83</f>
        <v>0</v>
      </c>
      <c r="AG37" s="7">
        <f>Geral!$P$83</f>
        <v>0</v>
      </c>
      <c r="AH37" s="7">
        <f>Geral!$Q$83</f>
        <v>0</v>
      </c>
      <c r="AI37" s="7">
        <f t="shared" si="6"/>
        <v>0</v>
      </c>
    </row>
    <row r="38" spans="2:35">
      <c r="B38" s="8" t="s">
        <v>14</v>
      </c>
      <c r="C38" s="6"/>
      <c r="D38" s="6"/>
      <c r="E38" s="6"/>
      <c r="F38" s="6"/>
      <c r="G38" s="6"/>
      <c r="H38" s="6"/>
      <c r="I38" s="6"/>
      <c r="J38" s="6"/>
      <c r="K38" s="6">
        <v>300</v>
      </c>
      <c r="L38" s="6"/>
      <c r="M38" s="6">
        <v>300</v>
      </c>
      <c r="N38" s="6">
        <v>300</v>
      </c>
      <c r="O38" s="25">
        <f t="shared" si="7"/>
        <v>900</v>
      </c>
      <c r="V38" t="s">
        <v>68</v>
      </c>
      <c r="W38" s="7">
        <f>Geral!$F$93</f>
        <v>0</v>
      </c>
      <c r="X38" s="7">
        <f>Geral!$G$93</f>
        <v>0</v>
      </c>
      <c r="Y38" s="7">
        <f>Geral!$H$93</f>
        <v>0</v>
      </c>
      <c r="Z38" s="7">
        <f>Geral!$I$93</f>
        <v>0</v>
      </c>
      <c r="AA38" s="7">
        <f>Geral!$J$93</f>
        <v>0</v>
      </c>
      <c r="AB38" s="7">
        <f>Geral!$K$93</f>
        <v>0</v>
      </c>
      <c r="AC38" s="7">
        <f>Geral!$L$93</f>
        <v>0</v>
      </c>
      <c r="AD38" s="7">
        <f>Geral!$M$93</f>
        <v>0</v>
      </c>
      <c r="AE38" s="7">
        <f>Geral!$N$93</f>
        <v>0</v>
      </c>
      <c r="AF38" s="7">
        <f>Geral!$O$93</f>
        <v>0</v>
      </c>
      <c r="AG38" s="7">
        <f>Geral!$P$93</f>
        <v>0</v>
      </c>
      <c r="AH38" s="7">
        <f>Geral!$Q$93</f>
        <v>0</v>
      </c>
      <c r="AI38" s="7">
        <f t="shared" si="6"/>
        <v>0</v>
      </c>
    </row>
    <row r="39" spans="2:35">
      <c r="B39" s="8" t="s">
        <v>15</v>
      </c>
      <c r="C39" s="6">
        <v>40</v>
      </c>
      <c r="D39" s="6"/>
      <c r="E39" s="6"/>
      <c r="F39" s="6"/>
      <c r="G39" s="6"/>
      <c r="H39" s="6"/>
      <c r="I39" s="6">
        <v>20</v>
      </c>
      <c r="J39" s="6"/>
      <c r="K39" s="6"/>
      <c r="L39" s="6"/>
      <c r="M39" s="6"/>
      <c r="N39" s="6"/>
      <c r="O39" s="25">
        <f t="shared" si="7"/>
        <v>60</v>
      </c>
      <c r="V39" t="s">
        <v>107</v>
      </c>
      <c r="W39" s="7">
        <f>Geral!$F$98</f>
        <v>0</v>
      </c>
      <c r="X39" s="7">
        <f>Geral!$G$98</f>
        <v>0</v>
      </c>
      <c r="Y39" s="7">
        <f>Geral!$H$98</f>
        <v>0</v>
      </c>
      <c r="Z39" s="7">
        <f>Geral!$I$98</f>
        <v>0</v>
      </c>
      <c r="AA39" s="7">
        <f>Geral!$J$98</f>
        <v>0</v>
      </c>
      <c r="AB39" s="7">
        <f>Geral!$K$98</f>
        <v>0</v>
      </c>
      <c r="AC39" s="7">
        <f>Geral!$L$98</f>
        <v>0</v>
      </c>
      <c r="AD39" s="7">
        <f>Geral!$M$98</f>
        <v>0</v>
      </c>
      <c r="AE39" s="7">
        <f>Geral!$N$98</f>
        <v>0</v>
      </c>
      <c r="AF39" s="7">
        <f>Geral!$O$98</f>
        <v>0</v>
      </c>
      <c r="AG39" s="7">
        <f>Geral!$P$98</f>
        <v>0</v>
      </c>
      <c r="AH39" s="7">
        <f>Geral!$Q$98</f>
        <v>0</v>
      </c>
      <c r="AI39" s="7">
        <f t="shared" si="6"/>
        <v>0</v>
      </c>
    </row>
    <row r="40" spans="2:35">
      <c r="B40" s="8" t="s">
        <v>52</v>
      </c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>
        <v>150</v>
      </c>
      <c r="O40" s="25">
        <f t="shared" si="7"/>
        <v>150</v>
      </c>
      <c r="V40" t="s">
        <v>52</v>
      </c>
      <c r="W40" s="7">
        <f>Geral!$F$43+Geral!$F$103</f>
        <v>0</v>
      </c>
      <c r="X40" s="7">
        <f>Geral!$G$43+Geral!$G$103</f>
        <v>0</v>
      </c>
      <c r="Y40" s="7">
        <f>Geral!$H$43+Geral!$H$103</f>
        <v>0</v>
      </c>
      <c r="Z40" s="7">
        <f>Geral!$I$43+Geral!$I$103</f>
        <v>0</v>
      </c>
      <c r="AA40" s="7">
        <f>Geral!$J$43+Geral!$J$103</f>
        <v>0</v>
      </c>
      <c r="AB40" s="7">
        <f>Geral!$K$43+Geral!$K$103</f>
        <v>0</v>
      </c>
      <c r="AC40" s="7">
        <f>Geral!$L$43+Geral!$L$103</f>
        <v>0</v>
      </c>
      <c r="AD40" s="7">
        <f>Geral!$M$43+Geral!$M$103</f>
        <v>0</v>
      </c>
      <c r="AE40" s="7">
        <f>Geral!$N$43+Geral!$N$103</f>
        <v>0</v>
      </c>
      <c r="AF40" s="7">
        <f>Geral!$O$43+Geral!$O$103</f>
        <v>0</v>
      </c>
      <c r="AG40" s="7">
        <f>Geral!$P$43+Geral!$P$103</f>
        <v>0</v>
      </c>
      <c r="AH40" s="7">
        <f>Geral!$Q$43+Geral!$Q$103</f>
        <v>0</v>
      </c>
      <c r="AI40" s="7">
        <f t="shared" si="6"/>
        <v>0</v>
      </c>
    </row>
    <row r="41" spans="2:35">
      <c r="V41" t="s">
        <v>25</v>
      </c>
      <c r="W41" s="7">
        <f>Geral!F$13+Geral!F$58</f>
        <v>0</v>
      </c>
      <c r="X41" s="7">
        <f>Geral!G$13+Geral!G$58</f>
        <v>0</v>
      </c>
      <c r="Y41" s="7">
        <f>Geral!H$13+Geral!H$58</f>
        <v>0</v>
      </c>
      <c r="Z41" s="7">
        <f>Geral!I$13+Geral!I$58</f>
        <v>0</v>
      </c>
      <c r="AA41" s="7">
        <f>Geral!J$13+Geral!J$58</f>
        <v>0</v>
      </c>
      <c r="AB41" s="7">
        <f>Geral!K$13+Geral!K$58</f>
        <v>0</v>
      </c>
      <c r="AC41" s="7">
        <f>Geral!L$13+Geral!L$58</f>
        <v>0</v>
      </c>
      <c r="AD41" s="7">
        <f>Geral!M$13+Geral!M$58</f>
        <v>0</v>
      </c>
      <c r="AE41" s="7">
        <f>Geral!N$13+Geral!N$58</f>
        <v>0</v>
      </c>
      <c r="AF41" s="7">
        <f>Geral!O$13+Geral!O$58</f>
        <v>0</v>
      </c>
      <c r="AG41" s="7">
        <f>Geral!P$13+Geral!P$58</f>
        <v>0</v>
      </c>
      <c r="AH41" s="7">
        <f>Geral!Q$13+Geral!Q$58</f>
        <v>0</v>
      </c>
      <c r="AI41" s="7">
        <f>SUM(W41:AH41)</f>
        <v>0</v>
      </c>
    </row>
    <row r="44" spans="2:35">
      <c r="V44" s="32"/>
      <c r="W44" s="30"/>
      <c r="X44" s="30"/>
      <c r="Y44" s="30"/>
      <c r="Z44" s="30"/>
      <c r="AA44" s="30"/>
      <c r="AB44" s="30"/>
      <c r="AC44" s="30"/>
    </row>
    <row r="45" spans="2:35">
      <c r="V45" s="31"/>
      <c r="W45" s="30"/>
      <c r="X45" s="30"/>
      <c r="Y45" s="30"/>
      <c r="Z45" s="30"/>
      <c r="AA45" s="30"/>
      <c r="AB45" s="30"/>
      <c r="AC45" s="30"/>
    </row>
    <row r="46" spans="2:35">
      <c r="V46" s="33"/>
      <c r="W46" s="30"/>
      <c r="X46" s="30"/>
      <c r="Y46" s="30"/>
      <c r="Z46" s="30"/>
      <c r="AA46" s="30"/>
      <c r="AB46" s="30"/>
      <c r="AC46" s="30"/>
    </row>
    <row r="47" spans="2:35">
      <c r="V47" s="34"/>
      <c r="W47" s="30"/>
      <c r="X47" s="30"/>
      <c r="Y47" s="30"/>
      <c r="Z47" s="30"/>
      <c r="AA47" s="30"/>
      <c r="AB47" s="30"/>
      <c r="AC47" s="30"/>
    </row>
    <row r="48" spans="2:35">
      <c r="V48" s="35"/>
      <c r="W48" s="30"/>
      <c r="X48" s="30"/>
      <c r="Y48" s="30"/>
      <c r="Z48" s="30"/>
      <c r="AA48" s="30"/>
      <c r="AB48" s="30"/>
      <c r="AC48" s="30"/>
    </row>
    <row r="49" spans="5:29">
      <c r="V49" s="36"/>
      <c r="W49" s="30"/>
      <c r="X49" s="30"/>
      <c r="Y49" s="30"/>
      <c r="Z49" s="30"/>
      <c r="AA49" s="30"/>
      <c r="AB49" s="30"/>
      <c r="AC49" s="30"/>
    </row>
    <row r="50" spans="5:29">
      <c r="V50" s="34"/>
      <c r="W50" s="30"/>
      <c r="X50" s="30"/>
      <c r="Y50" s="30"/>
      <c r="Z50" s="30"/>
      <c r="AA50" s="30"/>
      <c r="AB50" s="30"/>
      <c r="AC50" s="30"/>
    </row>
    <row r="51" spans="5:29">
      <c r="V51" s="35"/>
      <c r="W51" s="30"/>
      <c r="X51" s="30"/>
      <c r="Y51" s="30"/>
      <c r="Z51" s="30"/>
      <c r="AA51" s="30"/>
      <c r="AB51" s="30"/>
      <c r="AC51" s="30"/>
    </row>
    <row r="52" spans="5:29">
      <c r="V52" s="36"/>
      <c r="W52" s="30"/>
      <c r="X52" s="30"/>
      <c r="Y52" s="30"/>
      <c r="Z52" s="30"/>
      <c r="AA52" s="30"/>
      <c r="AB52" s="30"/>
      <c r="AC52" s="30"/>
    </row>
    <row r="53" spans="5:29">
      <c r="V53" s="32"/>
      <c r="W53" s="30"/>
      <c r="X53" s="30"/>
      <c r="Y53" s="30"/>
      <c r="Z53" s="30"/>
      <c r="AA53" s="30"/>
      <c r="AB53" s="30"/>
      <c r="AC53" s="30"/>
    </row>
    <row r="55" spans="5:29">
      <c r="E55">
        <v>1</v>
      </c>
      <c r="F55">
        <v>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Drop Down 1">
              <controlPr defaultSize="0" autoLine="0" autoPict="0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0"/>
  <dimension ref="B2:E14"/>
  <sheetViews>
    <sheetView showGridLines="0" showRowColHeaders="0" zoomScale="90" zoomScaleNormal="90" workbookViewId="0"/>
  </sheetViews>
  <sheetFormatPr defaultRowHeight="15"/>
  <cols>
    <col min="2" max="2" width="11" bestFit="1" customWidth="1"/>
    <col min="3" max="3" width="13.85546875" bestFit="1" customWidth="1"/>
    <col min="4" max="4" width="10.28515625" bestFit="1" customWidth="1"/>
    <col min="5" max="5" width="7" customWidth="1"/>
  </cols>
  <sheetData>
    <row r="2" spans="2:5">
      <c r="B2" t="s">
        <v>90</v>
      </c>
      <c r="D2" t="s">
        <v>209</v>
      </c>
      <c r="E2">
        <v>13000</v>
      </c>
    </row>
    <row r="3" spans="2:5">
      <c r="B3" t="s">
        <v>0</v>
      </c>
      <c r="C3" s="42">
        <f>Geral!F138</f>
        <v>0</v>
      </c>
      <c r="D3" t="s">
        <v>0</v>
      </c>
      <c r="E3">
        <f t="shared" ref="E3:E14" si="0">$E$2</f>
        <v>13000</v>
      </c>
    </row>
    <row r="4" spans="2:5">
      <c r="B4" t="s">
        <v>1</v>
      </c>
      <c r="C4" s="42">
        <f>Geral!G138</f>
        <v>0</v>
      </c>
      <c r="D4" t="s">
        <v>1</v>
      </c>
      <c r="E4">
        <f t="shared" si="0"/>
        <v>13000</v>
      </c>
    </row>
    <row r="5" spans="2:5">
      <c r="B5" t="s">
        <v>2</v>
      </c>
      <c r="C5" s="42">
        <f>Geral!H138</f>
        <v>0</v>
      </c>
      <c r="D5" t="s">
        <v>2</v>
      </c>
      <c r="E5">
        <f t="shared" si="0"/>
        <v>13000</v>
      </c>
    </row>
    <row r="6" spans="2:5">
      <c r="B6" t="s">
        <v>3</v>
      </c>
      <c r="C6" s="42">
        <f>Geral!I138</f>
        <v>0</v>
      </c>
      <c r="D6" t="s">
        <v>3</v>
      </c>
      <c r="E6">
        <f t="shared" si="0"/>
        <v>13000</v>
      </c>
    </row>
    <row r="7" spans="2:5">
      <c r="B7" t="s">
        <v>4</v>
      </c>
      <c r="C7" s="42">
        <f>Geral!J138</f>
        <v>0</v>
      </c>
      <c r="D7" t="s">
        <v>4</v>
      </c>
      <c r="E7">
        <f t="shared" si="0"/>
        <v>13000</v>
      </c>
    </row>
    <row r="8" spans="2:5">
      <c r="B8" t="s">
        <v>5</v>
      </c>
      <c r="C8" s="42">
        <f>Geral!K138</f>
        <v>0</v>
      </c>
      <c r="D8" t="s">
        <v>5</v>
      </c>
      <c r="E8">
        <f t="shared" si="0"/>
        <v>13000</v>
      </c>
    </row>
    <row r="9" spans="2:5">
      <c r="B9" t="s">
        <v>6</v>
      </c>
      <c r="C9" s="42">
        <f>Geral!L138</f>
        <v>0</v>
      </c>
      <c r="D9" t="s">
        <v>6</v>
      </c>
      <c r="E9">
        <f t="shared" si="0"/>
        <v>13000</v>
      </c>
    </row>
    <row r="10" spans="2:5">
      <c r="B10" t="s">
        <v>7</v>
      </c>
      <c r="C10" s="42">
        <f>Geral!M138</f>
        <v>0</v>
      </c>
      <c r="D10" t="s">
        <v>7</v>
      </c>
      <c r="E10">
        <f t="shared" si="0"/>
        <v>13000</v>
      </c>
    </row>
    <row r="11" spans="2:5">
      <c r="B11" t="s">
        <v>8</v>
      </c>
      <c r="C11" s="42">
        <f>Geral!N138</f>
        <v>0</v>
      </c>
      <c r="D11" t="s">
        <v>8</v>
      </c>
      <c r="E11">
        <f t="shared" si="0"/>
        <v>13000</v>
      </c>
    </row>
    <row r="12" spans="2:5">
      <c r="B12" t="s">
        <v>9</v>
      </c>
      <c r="C12" s="42">
        <f>Geral!O138</f>
        <v>0</v>
      </c>
      <c r="D12" t="s">
        <v>9</v>
      </c>
      <c r="E12">
        <f t="shared" si="0"/>
        <v>13000</v>
      </c>
    </row>
    <row r="13" spans="2:5">
      <c r="B13" t="s">
        <v>10</v>
      </c>
      <c r="C13" s="42">
        <f>Geral!P138</f>
        <v>0</v>
      </c>
      <c r="D13" t="s">
        <v>10</v>
      </c>
      <c r="E13">
        <f t="shared" si="0"/>
        <v>13000</v>
      </c>
    </row>
    <row r="14" spans="2:5">
      <c r="B14" t="s">
        <v>11</v>
      </c>
      <c r="C14" s="42">
        <f>Geral!Q138</f>
        <v>0</v>
      </c>
      <c r="D14" t="s">
        <v>11</v>
      </c>
      <c r="E14">
        <f t="shared" si="0"/>
        <v>13000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Spinner 1">
              <controlPr defaultSize="0" autoPict="0">
                <anchor moveWithCells="1" sizeWithCells="1">
                  <from>
                    <xdr:col>14</xdr:col>
                    <xdr:colOff>323850</xdr:colOff>
                    <xdr:row>1</xdr:row>
                    <xdr:rowOff>47625</xdr:rowOff>
                  </from>
                  <to>
                    <xdr:col>15</xdr:col>
                    <xdr:colOff>333375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Q70"/>
  <sheetViews>
    <sheetView showGridLines="0" showRowColHeaders="0" zoomScale="90" zoomScaleNormal="90" workbookViewId="0">
      <pane xSplit="4" ySplit="2" topLeftCell="E3" activePane="bottomRight" state="frozen"/>
      <selection pane="topRight" activeCell="E1" sqref="E1"/>
      <selection pane="bottomLeft" activeCell="A2" sqref="A2"/>
      <selection pane="bottomRight"/>
    </sheetView>
  </sheetViews>
  <sheetFormatPr defaultRowHeight="15"/>
  <cols>
    <col min="1" max="1" width="9.140625" customWidth="1"/>
    <col min="2" max="2" width="15.7109375" customWidth="1"/>
    <col min="3" max="3" width="12.140625" bestFit="1" customWidth="1"/>
    <col min="4" max="4" width="21.28515625" bestFit="1" customWidth="1"/>
    <col min="5" max="6" width="13.85546875" bestFit="1" customWidth="1"/>
    <col min="7" max="7" width="15" bestFit="1" customWidth="1"/>
    <col min="8" max="16" width="13.85546875" bestFit="1" customWidth="1"/>
    <col min="17" max="17" width="15" bestFit="1" customWidth="1"/>
  </cols>
  <sheetData>
    <row r="1" spans="2:17" ht="15.75" customHeight="1"/>
    <row r="2" spans="2:17" ht="15.75" thickBot="1">
      <c r="D2" s="46" t="s">
        <v>74</v>
      </c>
      <c r="E2" s="46" t="s">
        <v>0</v>
      </c>
      <c r="F2" s="46" t="s">
        <v>1</v>
      </c>
      <c r="G2" s="46" t="s">
        <v>2</v>
      </c>
      <c r="H2" s="46" t="s">
        <v>3</v>
      </c>
      <c r="I2" s="46" t="s">
        <v>4</v>
      </c>
      <c r="J2" s="46" t="s">
        <v>5</v>
      </c>
      <c r="K2" s="46" t="s">
        <v>6</v>
      </c>
      <c r="L2" s="46" t="s">
        <v>7</v>
      </c>
      <c r="M2" s="46" t="s">
        <v>8</v>
      </c>
      <c r="N2" s="46" t="s">
        <v>9</v>
      </c>
      <c r="O2" s="46" t="s">
        <v>10</v>
      </c>
      <c r="P2" s="46" t="s">
        <v>11</v>
      </c>
      <c r="Q2" s="46" t="s">
        <v>92</v>
      </c>
    </row>
    <row r="3" spans="2:17">
      <c r="B3" s="328" t="s">
        <v>133</v>
      </c>
      <c r="C3" s="289" t="s">
        <v>22</v>
      </c>
      <c r="D3" s="253" t="s">
        <v>24</v>
      </c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47">
        <f>SUM(E3:P3)</f>
        <v>0</v>
      </c>
    </row>
    <row r="4" spans="2:17">
      <c r="B4" s="329"/>
      <c r="C4" s="290"/>
      <c r="D4" s="254" t="s">
        <v>18</v>
      </c>
      <c r="E4" s="262"/>
      <c r="F4" s="262"/>
      <c r="G4" s="262"/>
      <c r="H4" s="262"/>
      <c r="I4" s="262"/>
      <c r="J4" s="262"/>
      <c r="K4" s="262"/>
      <c r="L4" s="262"/>
      <c r="M4" s="262"/>
      <c r="N4" s="262"/>
      <c r="O4" s="262"/>
      <c r="P4" s="262"/>
      <c r="Q4" s="48">
        <f t="shared" ref="Q4:Q14" si="0">SUM(E4:P4)</f>
        <v>0</v>
      </c>
    </row>
    <row r="5" spans="2:17">
      <c r="B5" s="329"/>
      <c r="C5" s="290"/>
      <c r="D5" s="254" t="s">
        <v>19</v>
      </c>
      <c r="E5" s="262"/>
      <c r="F5" s="262"/>
      <c r="G5" s="262"/>
      <c r="H5" s="262"/>
      <c r="I5" s="262"/>
      <c r="J5" s="262"/>
      <c r="K5" s="262"/>
      <c r="L5" s="262"/>
      <c r="M5" s="262"/>
      <c r="N5" s="262"/>
      <c r="O5" s="262"/>
      <c r="P5" s="262"/>
      <c r="Q5" s="48">
        <f t="shared" si="0"/>
        <v>0</v>
      </c>
    </row>
    <row r="6" spans="2:17">
      <c r="B6" s="329"/>
      <c r="C6" s="290"/>
      <c r="D6" s="254" t="s">
        <v>20</v>
      </c>
      <c r="E6" s="262"/>
      <c r="F6" s="262"/>
      <c r="G6" s="262"/>
      <c r="H6" s="262"/>
      <c r="I6" s="262"/>
      <c r="J6" s="262"/>
      <c r="K6" s="262"/>
      <c r="L6" s="262"/>
      <c r="M6" s="262"/>
      <c r="N6" s="262"/>
      <c r="O6" s="262"/>
      <c r="P6" s="262"/>
      <c r="Q6" s="48">
        <f t="shared" si="0"/>
        <v>0</v>
      </c>
    </row>
    <row r="7" spans="2:17">
      <c r="B7" s="329"/>
      <c r="C7" s="290"/>
      <c r="D7" s="254" t="s">
        <v>21</v>
      </c>
      <c r="E7" s="262"/>
      <c r="F7" s="262"/>
      <c r="G7" s="262"/>
      <c r="H7" s="262"/>
      <c r="I7" s="262"/>
      <c r="J7" s="262"/>
      <c r="K7" s="262"/>
      <c r="L7" s="262"/>
      <c r="M7" s="262"/>
      <c r="N7" s="262"/>
      <c r="O7" s="262"/>
      <c r="P7" s="262"/>
      <c r="Q7" s="48">
        <f t="shared" si="0"/>
        <v>0</v>
      </c>
    </row>
    <row r="8" spans="2:17">
      <c r="B8" s="329"/>
      <c r="C8" s="290"/>
      <c r="D8" s="254" t="s">
        <v>14</v>
      </c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  <c r="P8" s="262"/>
      <c r="Q8" s="48">
        <f t="shared" si="0"/>
        <v>0</v>
      </c>
    </row>
    <row r="9" spans="2:17">
      <c r="B9" s="329"/>
      <c r="C9" s="290"/>
      <c r="D9" s="254" t="s">
        <v>132</v>
      </c>
      <c r="E9" s="262"/>
      <c r="F9" s="262"/>
      <c r="G9" s="262"/>
      <c r="H9" s="262"/>
      <c r="I9" s="262"/>
      <c r="J9" s="262"/>
      <c r="K9" s="262"/>
      <c r="L9" s="262"/>
      <c r="M9" s="262"/>
      <c r="N9" s="262"/>
      <c r="O9" s="262"/>
      <c r="P9" s="262"/>
      <c r="Q9" s="48">
        <f t="shared" si="0"/>
        <v>0</v>
      </c>
    </row>
    <row r="10" spans="2:17">
      <c r="B10" s="329"/>
      <c r="C10" s="290"/>
      <c r="D10" s="254" t="s">
        <v>130</v>
      </c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48">
        <f t="shared" si="0"/>
        <v>0</v>
      </c>
    </row>
    <row r="11" spans="2:17">
      <c r="B11" s="329"/>
      <c r="C11" s="290"/>
      <c r="D11" s="254" t="s">
        <v>131</v>
      </c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48">
        <f t="shared" si="0"/>
        <v>0</v>
      </c>
    </row>
    <row r="12" spans="2:17">
      <c r="B12" s="329"/>
      <c r="C12" s="290"/>
      <c r="D12" s="254" t="s">
        <v>42</v>
      </c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48">
        <f t="shared" si="0"/>
        <v>0</v>
      </c>
    </row>
    <row r="13" spans="2:17">
      <c r="B13" s="329"/>
      <c r="C13" s="290"/>
      <c r="D13" s="254" t="s">
        <v>52</v>
      </c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2"/>
      <c r="P13" s="262"/>
      <c r="Q13" s="48">
        <f t="shared" si="0"/>
        <v>0</v>
      </c>
    </row>
    <row r="14" spans="2:17">
      <c r="B14" s="329"/>
      <c r="C14" s="290"/>
      <c r="D14" s="254"/>
      <c r="E14" s="262"/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48">
        <f t="shared" si="0"/>
        <v>0</v>
      </c>
    </row>
    <row r="15" spans="2:17" ht="15.75" thickBot="1">
      <c r="B15" s="329"/>
      <c r="C15" s="291"/>
      <c r="D15" s="140" t="s">
        <v>94</v>
      </c>
      <c r="E15" s="141">
        <f>SUM(E3:E14)</f>
        <v>0</v>
      </c>
      <c r="F15" s="141">
        <f>SUM(F3:F14)</f>
        <v>0</v>
      </c>
      <c r="G15" s="141">
        <f t="shared" ref="G15:P15" si="1">SUM(G3:G14)</f>
        <v>0</v>
      </c>
      <c r="H15" s="141">
        <f>SUM(H3:H14)</f>
        <v>0</v>
      </c>
      <c r="I15" s="141">
        <f>SUM(I3:I14)</f>
        <v>0</v>
      </c>
      <c r="J15" s="141">
        <f t="shared" si="1"/>
        <v>0</v>
      </c>
      <c r="K15" s="141">
        <f t="shared" si="1"/>
        <v>0</v>
      </c>
      <c r="L15" s="141">
        <f t="shared" si="1"/>
        <v>0</v>
      </c>
      <c r="M15" s="141">
        <f t="shared" si="1"/>
        <v>0</v>
      </c>
      <c r="N15" s="141">
        <f t="shared" si="1"/>
        <v>0</v>
      </c>
      <c r="O15" s="141">
        <f t="shared" si="1"/>
        <v>0</v>
      </c>
      <c r="P15" s="141">
        <f t="shared" si="1"/>
        <v>0</v>
      </c>
      <c r="Q15" s="143">
        <f>SUM(E15:P15)</f>
        <v>0</v>
      </c>
    </row>
    <row r="16" spans="2:17" ht="15.75" thickBot="1">
      <c r="B16" s="329"/>
      <c r="C16" s="128"/>
      <c r="D16" s="49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1"/>
    </row>
    <row r="17" spans="2:17">
      <c r="B17" s="329"/>
      <c r="C17" s="289" t="s">
        <v>25</v>
      </c>
      <c r="D17" s="255" t="s">
        <v>28</v>
      </c>
      <c r="E17" s="263"/>
      <c r="F17" s="263"/>
      <c r="G17" s="263"/>
      <c r="H17" s="263"/>
      <c r="I17" s="263"/>
      <c r="J17" s="263"/>
      <c r="K17" s="263"/>
      <c r="L17" s="263"/>
      <c r="M17" s="263"/>
      <c r="N17" s="263"/>
      <c r="O17" s="263"/>
      <c r="P17" s="263"/>
      <c r="Q17" s="52">
        <f>SUM(E17:P17)</f>
        <v>0</v>
      </c>
    </row>
    <row r="18" spans="2:17">
      <c r="B18" s="329"/>
      <c r="C18" s="290"/>
      <c r="D18" s="256" t="s">
        <v>52</v>
      </c>
      <c r="E18" s="264"/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53">
        <f t="shared" ref="Q18:Q24" si="2">SUM(E18:P18)</f>
        <v>0</v>
      </c>
    </row>
    <row r="19" spans="2:17">
      <c r="B19" s="329"/>
      <c r="C19" s="290"/>
      <c r="D19" s="256"/>
      <c r="E19" s="264"/>
      <c r="F19" s="264"/>
      <c r="G19" s="264"/>
      <c r="H19" s="264"/>
      <c r="I19" s="264"/>
      <c r="J19" s="264"/>
      <c r="K19" s="264"/>
      <c r="L19" s="264"/>
      <c r="M19" s="264"/>
      <c r="N19" s="264"/>
      <c r="O19" s="264"/>
      <c r="P19" s="264"/>
      <c r="Q19" s="53">
        <f t="shared" si="2"/>
        <v>0</v>
      </c>
    </row>
    <row r="20" spans="2:17">
      <c r="B20" s="329"/>
      <c r="C20" s="290"/>
      <c r="D20" s="256"/>
      <c r="E20" s="264"/>
      <c r="F20" s="264"/>
      <c r="G20" s="264"/>
      <c r="H20" s="264"/>
      <c r="I20" s="264"/>
      <c r="J20" s="264"/>
      <c r="K20" s="264"/>
      <c r="L20" s="264"/>
      <c r="M20" s="264"/>
      <c r="N20" s="264"/>
      <c r="O20" s="262"/>
      <c r="P20" s="262"/>
      <c r="Q20" s="53">
        <f t="shared" si="2"/>
        <v>0</v>
      </c>
    </row>
    <row r="21" spans="2:17">
      <c r="B21" s="329"/>
      <c r="C21" s="290"/>
      <c r="D21" s="256"/>
      <c r="E21" s="264"/>
      <c r="F21" s="264"/>
      <c r="G21" s="264"/>
      <c r="H21" s="264"/>
      <c r="I21" s="264"/>
      <c r="J21" s="264"/>
      <c r="K21" s="264"/>
      <c r="L21" s="264"/>
      <c r="M21" s="264"/>
      <c r="N21" s="264"/>
      <c r="O21" s="264"/>
      <c r="P21" s="264"/>
      <c r="Q21" s="53">
        <f t="shared" si="2"/>
        <v>0</v>
      </c>
    </row>
    <row r="22" spans="2:17">
      <c r="B22" s="329"/>
      <c r="C22" s="290"/>
      <c r="D22" s="256"/>
      <c r="E22" s="264"/>
      <c r="F22" s="264"/>
      <c r="G22" s="264"/>
      <c r="H22" s="264"/>
      <c r="I22" s="264"/>
      <c r="J22" s="264"/>
      <c r="K22" s="264"/>
      <c r="L22" s="264"/>
      <c r="M22" s="264"/>
      <c r="N22" s="264"/>
      <c r="O22" s="262"/>
      <c r="P22" s="262"/>
      <c r="Q22" s="53">
        <f t="shared" si="2"/>
        <v>0</v>
      </c>
    </row>
    <row r="23" spans="2:17">
      <c r="B23" s="329"/>
      <c r="C23" s="290"/>
      <c r="D23" s="256"/>
      <c r="E23" s="264"/>
      <c r="F23" s="264"/>
      <c r="G23" s="264"/>
      <c r="H23" s="264"/>
      <c r="I23" s="264"/>
      <c r="J23" s="264"/>
      <c r="K23" s="264"/>
      <c r="L23" s="264"/>
      <c r="M23" s="264"/>
      <c r="N23" s="264"/>
      <c r="O23" s="262"/>
      <c r="P23" s="262"/>
      <c r="Q23" s="53">
        <f t="shared" si="2"/>
        <v>0</v>
      </c>
    </row>
    <row r="24" spans="2:17">
      <c r="B24" s="329"/>
      <c r="C24" s="290"/>
      <c r="D24" s="256"/>
      <c r="E24" s="264"/>
      <c r="F24" s="264"/>
      <c r="G24" s="264"/>
      <c r="H24" s="264"/>
      <c r="I24" s="264"/>
      <c r="J24" s="264"/>
      <c r="K24" s="264"/>
      <c r="L24" s="264"/>
      <c r="M24" s="264"/>
      <c r="N24" s="264"/>
      <c r="O24" s="262"/>
      <c r="P24" s="262"/>
      <c r="Q24" s="53">
        <f t="shared" si="2"/>
        <v>0</v>
      </c>
    </row>
    <row r="25" spans="2:17" ht="15.75" thickBot="1">
      <c r="B25" s="329"/>
      <c r="C25" s="291"/>
      <c r="D25" s="140" t="s">
        <v>115</v>
      </c>
      <c r="E25" s="171">
        <f>SUM(E17:E24)</f>
        <v>0</v>
      </c>
      <c r="F25" s="171">
        <f>SUM(F17:F24)</f>
        <v>0</v>
      </c>
      <c r="G25" s="171">
        <f>SUM(G17:G24)</f>
        <v>0</v>
      </c>
      <c r="H25" s="171">
        <f>SUM(H17:H24)</f>
        <v>0</v>
      </c>
      <c r="I25" s="141">
        <f>SUM(I17:I24)</f>
        <v>0</v>
      </c>
      <c r="J25" s="141">
        <f t="shared" ref="J25:P25" si="3">SUM(J17:J24)</f>
        <v>0</v>
      </c>
      <c r="K25" s="141">
        <f t="shared" si="3"/>
        <v>0</v>
      </c>
      <c r="L25" s="141">
        <f t="shared" si="3"/>
        <v>0</v>
      </c>
      <c r="M25" s="141">
        <f t="shared" si="3"/>
        <v>0</v>
      </c>
      <c r="N25" s="141">
        <f t="shared" si="3"/>
        <v>0</v>
      </c>
      <c r="O25" s="141">
        <f t="shared" si="3"/>
        <v>0</v>
      </c>
      <c r="P25" s="141">
        <f t="shared" si="3"/>
        <v>0</v>
      </c>
      <c r="Q25" s="143">
        <f>SUM(E25:P25)</f>
        <v>0</v>
      </c>
    </row>
    <row r="26" spans="2:17" ht="15.75" thickBot="1">
      <c r="B26" s="329"/>
      <c r="C26" s="128"/>
      <c r="D26" s="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0"/>
      <c r="P26" s="50"/>
      <c r="Q26" s="51"/>
    </row>
    <row r="27" spans="2:17">
      <c r="B27" s="329"/>
      <c r="C27" s="292" t="s">
        <v>23</v>
      </c>
      <c r="D27" s="257" t="s">
        <v>43</v>
      </c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47">
        <f>SUM(E27:P27)</f>
        <v>0</v>
      </c>
    </row>
    <row r="28" spans="2:17">
      <c r="B28" s="329"/>
      <c r="C28" s="293"/>
      <c r="D28" s="258" t="s">
        <v>44</v>
      </c>
      <c r="E28" s="266"/>
      <c r="F28" s="266"/>
      <c r="G28" s="266"/>
      <c r="H28" s="266"/>
      <c r="I28" s="266"/>
      <c r="J28" s="266"/>
      <c r="K28" s="266"/>
      <c r="L28" s="266"/>
      <c r="M28" s="266"/>
      <c r="N28" s="266"/>
      <c r="O28" s="266"/>
      <c r="P28" s="266"/>
      <c r="Q28" s="48">
        <f t="shared" ref="Q28:Q31" si="4">SUM(E28:P28)</f>
        <v>0</v>
      </c>
    </row>
    <row r="29" spans="2:17">
      <c r="B29" s="329"/>
      <c r="C29" s="293"/>
      <c r="D29" s="258" t="s">
        <v>38</v>
      </c>
      <c r="E29" s="266"/>
      <c r="F29" s="266"/>
      <c r="G29" s="266"/>
      <c r="H29" s="266"/>
      <c r="I29" s="266"/>
      <c r="J29" s="266"/>
      <c r="K29" s="266"/>
      <c r="L29" s="266"/>
      <c r="M29" s="266"/>
      <c r="N29" s="266"/>
      <c r="O29" s="266"/>
      <c r="P29" s="266"/>
      <c r="Q29" s="48">
        <f t="shared" si="4"/>
        <v>0</v>
      </c>
    </row>
    <row r="30" spans="2:17">
      <c r="B30" s="329"/>
      <c r="C30" s="293"/>
      <c r="D30" s="258" t="s">
        <v>52</v>
      </c>
      <c r="E30" s="266"/>
      <c r="F30" s="266"/>
      <c r="G30" s="266"/>
      <c r="H30" s="266"/>
      <c r="I30" s="266"/>
      <c r="J30" s="266"/>
      <c r="K30" s="266"/>
      <c r="L30" s="266"/>
      <c r="M30" s="266"/>
      <c r="N30" s="266"/>
      <c r="O30" s="266"/>
      <c r="P30" s="266"/>
      <c r="Q30" s="48">
        <f t="shared" si="4"/>
        <v>0</v>
      </c>
    </row>
    <row r="31" spans="2:17" ht="15.75" thickBot="1">
      <c r="B31" s="329"/>
      <c r="C31" s="294"/>
      <c r="D31" s="144" t="s">
        <v>95</v>
      </c>
      <c r="E31" s="141">
        <f>SUM(E27:E30)</f>
        <v>0</v>
      </c>
      <c r="F31" s="141">
        <f t="shared" ref="F31:P31" si="5">SUM(F27:F30)</f>
        <v>0</v>
      </c>
      <c r="G31" s="141">
        <f t="shared" si="5"/>
        <v>0</v>
      </c>
      <c r="H31" s="141">
        <f>SUM(H27:H30)</f>
        <v>0</v>
      </c>
      <c r="I31" s="141">
        <f>SUM(I27:I30)</f>
        <v>0</v>
      </c>
      <c r="J31" s="141">
        <f t="shared" si="5"/>
        <v>0</v>
      </c>
      <c r="K31" s="141">
        <f t="shared" si="5"/>
        <v>0</v>
      </c>
      <c r="L31" s="141">
        <f t="shared" si="5"/>
        <v>0</v>
      </c>
      <c r="M31" s="141">
        <f t="shared" si="5"/>
        <v>0</v>
      </c>
      <c r="N31" s="141">
        <f t="shared" si="5"/>
        <v>0</v>
      </c>
      <c r="O31" s="141">
        <f t="shared" si="5"/>
        <v>0</v>
      </c>
      <c r="P31" s="141">
        <f t="shared" si="5"/>
        <v>0</v>
      </c>
      <c r="Q31" s="143">
        <f t="shared" si="4"/>
        <v>0</v>
      </c>
    </row>
    <row r="32" spans="2:17" ht="15.75" thickBot="1">
      <c r="B32" s="329"/>
      <c r="C32" s="129"/>
      <c r="D32" s="57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1"/>
    </row>
    <row r="33" spans="2:17">
      <c r="B33" s="329"/>
      <c r="C33" s="292" t="s">
        <v>39</v>
      </c>
      <c r="D33" s="257" t="s">
        <v>109</v>
      </c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47">
        <f>SUM(E33:P33)</f>
        <v>0</v>
      </c>
    </row>
    <row r="34" spans="2:17">
      <c r="B34" s="329"/>
      <c r="C34" s="293"/>
      <c r="D34" s="258" t="s">
        <v>129</v>
      </c>
      <c r="E34" s="266"/>
      <c r="F34" s="266"/>
      <c r="G34" s="266"/>
      <c r="H34" s="266"/>
      <c r="I34" s="266"/>
      <c r="J34" s="266"/>
      <c r="K34" s="266"/>
      <c r="L34" s="266"/>
      <c r="M34" s="266"/>
      <c r="N34" s="266"/>
      <c r="O34" s="266"/>
      <c r="P34" s="266"/>
      <c r="Q34" s="48">
        <f t="shared" ref="Q34:Q38" si="6">SUM(E34:P34)</f>
        <v>0</v>
      </c>
    </row>
    <row r="35" spans="2:17">
      <c r="B35" s="329"/>
      <c r="C35" s="293"/>
      <c r="D35" s="258" t="s">
        <v>128</v>
      </c>
      <c r="E35" s="266"/>
      <c r="F35" s="266"/>
      <c r="G35" s="266"/>
      <c r="H35" s="266"/>
      <c r="I35" s="266"/>
      <c r="J35" s="266"/>
      <c r="K35" s="266"/>
      <c r="L35" s="266"/>
      <c r="M35" s="266"/>
      <c r="N35" s="266"/>
      <c r="O35" s="266"/>
      <c r="P35" s="266"/>
      <c r="Q35" s="48">
        <f t="shared" si="6"/>
        <v>0</v>
      </c>
    </row>
    <row r="36" spans="2:17">
      <c r="B36" s="329"/>
      <c r="C36" s="293"/>
      <c r="D36" s="258" t="s">
        <v>134</v>
      </c>
      <c r="E36" s="266"/>
      <c r="F36" s="266"/>
      <c r="G36" s="266"/>
      <c r="H36" s="266"/>
      <c r="I36" s="266"/>
      <c r="J36" s="266"/>
      <c r="K36" s="266"/>
      <c r="L36" s="266"/>
      <c r="M36" s="266"/>
      <c r="N36" s="266"/>
      <c r="O36" s="266"/>
      <c r="P36" s="266"/>
      <c r="Q36" s="48">
        <f t="shared" si="6"/>
        <v>0</v>
      </c>
    </row>
    <row r="37" spans="2:17">
      <c r="B37" s="329"/>
      <c r="C37" s="293"/>
      <c r="D37" s="258" t="s">
        <v>52</v>
      </c>
      <c r="E37" s="266"/>
      <c r="F37" s="266"/>
      <c r="G37" s="266"/>
      <c r="H37" s="266"/>
      <c r="I37" s="266"/>
      <c r="J37" s="266"/>
      <c r="K37" s="266"/>
      <c r="L37" s="266"/>
      <c r="M37" s="266"/>
      <c r="N37" s="266"/>
      <c r="O37" s="266"/>
      <c r="P37" s="266"/>
      <c r="Q37" s="48">
        <f t="shared" si="6"/>
        <v>0</v>
      </c>
    </row>
    <row r="38" spans="2:17" ht="15.75" thickBot="1">
      <c r="B38" s="329"/>
      <c r="C38" s="294"/>
      <c r="D38" s="144" t="s">
        <v>96</v>
      </c>
      <c r="E38" s="141">
        <f>SUM(E33:E37)</f>
        <v>0</v>
      </c>
      <c r="F38" s="141">
        <f t="shared" ref="F38:P38" si="7">SUM(F33:F37)</f>
        <v>0</v>
      </c>
      <c r="G38" s="141">
        <f t="shared" si="7"/>
        <v>0</v>
      </c>
      <c r="H38" s="141">
        <f>SUM(H33:H37)</f>
        <v>0</v>
      </c>
      <c r="I38" s="141">
        <f>SUM(I33:I37)</f>
        <v>0</v>
      </c>
      <c r="J38" s="141">
        <f t="shared" si="7"/>
        <v>0</v>
      </c>
      <c r="K38" s="141">
        <f t="shared" si="7"/>
        <v>0</v>
      </c>
      <c r="L38" s="141">
        <f t="shared" si="7"/>
        <v>0</v>
      </c>
      <c r="M38" s="141">
        <f t="shared" si="7"/>
        <v>0</v>
      </c>
      <c r="N38" s="141">
        <f t="shared" si="7"/>
        <v>0</v>
      </c>
      <c r="O38" s="141">
        <f t="shared" si="7"/>
        <v>0</v>
      </c>
      <c r="P38" s="141">
        <f t="shared" si="7"/>
        <v>0</v>
      </c>
      <c r="Q38" s="143">
        <f t="shared" si="6"/>
        <v>0</v>
      </c>
    </row>
    <row r="39" spans="2:17" ht="15.75" thickBot="1">
      <c r="B39" s="329"/>
      <c r="C39" s="130"/>
      <c r="D39" s="57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1"/>
    </row>
    <row r="40" spans="2:17">
      <c r="B40" s="329"/>
      <c r="C40" s="292" t="s">
        <v>45</v>
      </c>
      <c r="D40" s="257" t="s">
        <v>46</v>
      </c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5"/>
      <c r="P40" s="265"/>
      <c r="Q40" s="47">
        <f>SUM(E40:P40)</f>
        <v>0</v>
      </c>
    </row>
    <row r="41" spans="2:17">
      <c r="B41" s="329"/>
      <c r="C41" s="293"/>
      <c r="D41" s="258" t="s">
        <v>47</v>
      </c>
      <c r="E41" s="266"/>
      <c r="F41" s="266"/>
      <c r="G41" s="266"/>
      <c r="H41" s="266"/>
      <c r="I41" s="266"/>
      <c r="J41" s="266"/>
      <c r="K41" s="266"/>
      <c r="L41" s="266"/>
      <c r="M41" s="266"/>
      <c r="N41" s="266"/>
      <c r="O41" s="266"/>
      <c r="P41" s="266"/>
      <c r="Q41" s="48">
        <f t="shared" ref="Q41:Q45" si="8">SUM(E41:P41)</f>
        <v>0</v>
      </c>
    </row>
    <row r="42" spans="2:17">
      <c r="B42" s="329"/>
      <c r="C42" s="293"/>
      <c r="D42" s="258" t="s">
        <v>48</v>
      </c>
      <c r="E42" s="266"/>
      <c r="F42" s="266"/>
      <c r="G42" s="266"/>
      <c r="H42" s="266"/>
      <c r="I42" s="266"/>
      <c r="J42" s="266"/>
      <c r="K42" s="266"/>
      <c r="L42" s="266"/>
      <c r="M42" s="266"/>
      <c r="N42" s="266"/>
      <c r="O42" s="266"/>
      <c r="P42" s="266"/>
      <c r="Q42" s="48">
        <f t="shared" si="8"/>
        <v>0</v>
      </c>
    </row>
    <row r="43" spans="2:17">
      <c r="B43" s="329"/>
      <c r="C43" s="293"/>
      <c r="D43" s="258" t="s">
        <v>77</v>
      </c>
      <c r="E43" s="26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  <c r="Q43" s="48">
        <f>SUM(E43:P43)</f>
        <v>0</v>
      </c>
    </row>
    <row r="44" spans="2:17">
      <c r="B44" s="329"/>
      <c r="C44" s="293"/>
      <c r="D44" s="258" t="s">
        <v>52</v>
      </c>
      <c r="E44" s="266"/>
      <c r="F44" s="266"/>
      <c r="G44" s="266"/>
      <c r="H44" s="266"/>
      <c r="I44" s="266"/>
      <c r="J44" s="266"/>
      <c r="K44" s="266"/>
      <c r="L44" s="266"/>
      <c r="M44" s="266"/>
      <c r="N44" s="266"/>
      <c r="O44" s="266"/>
      <c r="P44" s="266"/>
      <c r="Q44" s="48">
        <f>SUM(E44:P44)</f>
        <v>0</v>
      </c>
    </row>
    <row r="45" spans="2:17" ht="15.75" thickBot="1">
      <c r="B45" s="329"/>
      <c r="C45" s="294"/>
      <c r="D45" s="144" t="s">
        <v>97</v>
      </c>
      <c r="E45" s="141">
        <f>SUM(E40:E44)</f>
        <v>0</v>
      </c>
      <c r="F45" s="141">
        <f t="shared" ref="F45:P45" si="9">SUM(F40:F44)</f>
        <v>0</v>
      </c>
      <c r="G45" s="141">
        <f t="shared" si="9"/>
        <v>0</v>
      </c>
      <c r="H45" s="141">
        <f>SUM(H40:H44)</f>
        <v>0</v>
      </c>
      <c r="I45" s="141">
        <f>SUM(I40:I44)</f>
        <v>0</v>
      </c>
      <c r="J45" s="141">
        <f t="shared" si="9"/>
        <v>0</v>
      </c>
      <c r="K45" s="141">
        <f t="shared" si="9"/>
        <v>0</v>
      </c>
      <c r="L45" s="141">
        <f t="shared" si="9"/>
        <v>0</v>
      </c>
      <c r="M45" s="141">
        <f t="shared" si="9"/>
        <v>0</v>
      </c>
      <c r="N45" s="141">
        <f t="shared" si="9"/>
        <v>0</v>
      </c>
      <c r="O45" s="141">
        <f t="shared" si="9"/>
        <v>0</v>
      </c>
      <c r="P45" s="141">
        <f t="shared" si="9"/>
        <v>0</v>
      </c>
      <c r="Q45" s="143">
        <f t="shared" si="8"/>
        <v>0</v>
      </c>
    </row>
    <row r="46" spans="2:17" ht="15.75" thickBot="1">
      <c r="B46" s="329"/>
      <c r="C46" s="129"/>
      <c r="D46" s="59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51"/>
    </row>
    <row r="47" spans="2:17">
      <c r="B47" s="329"/>
      <c r="C47" s="292" t="s">
        <v>58</v>
      </c>
      <c r="D47" s="259" t="s">
        <v>59</v>
      </c>
      <c r="E47" s="265"/>
      <c r="F47" s="265"/>
      <c r="G47" s="265"/>
      <c r="H47" s="265"/>
      <c r="I47" s="265"/>
      <c r="J47" s="265"/>
      <c r="K47" s="265"/>
      <c r="L47" s="265"/>
      <c r="M47" s="265"/>
      <c r="N47" s="265"/>
      <c r="O47" s="265"/>
      <c r="P47" s="265"/>
      <c r="Q47" s="47">
        <f>SUM(E47:P47)</f>
        <v>0</v>
      </c>
    </row>
    <row r="48" spans="2:17">
      <c r="B48" s="329"/>
      <c r="C48" s="293"/>
      <c r="D48" s="260" t="s">
        <v>76</v>
      </c>
      <c r="E48" s="266"/>
      <c r="F48" s="266"/>
      <c r="G48" s="266"/>
      <c r="H48" s="266"/>
      <c r="I48" s="266"/>
      <c r="J48" s="266"/>
      <c r="K48" s="266"/>
      <c r="L48" s="266"/>
      <c r="M48" s="266"/>
      <c r="N48" s="266"/>
      <c r="O48" s="266"/>
      <c r="P48" s="266"/>
      <c r="Q48" s="48">
        <f t="shared" ref="Q48:Q52" si="10">SUM(E48:P48)</f>
        <v>0</v>
      </c>
    </row>
    <row r="49" spans="2:17">
      <c r="B49" s="329"/>
      <c r="C49" s="293"/>
      <c r="D49" s="260" t="s">
        <v>135</v>
      </c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48">
        <f t="shared" si="10"/>
        <v>0</v>
      </c>
    </row>
    <row r="50" spans="2:17">
      <c r="B50" s="329"/>
      <c r="C50" s="293"/>
      <c r="D50" s="260" t="s">
        <v>80</v>
      </c>
      <c r="E50" s="266"/>
      <c r="F50" s="266"/>
      <c r="G50" s="266"/>
      <c r="H50" s="266"/>
      <c r="I50" s="266"/>
      <c r="J50" s="266"/>
      <c r="K50" s="266"/>
      <c r="L50" s="266"/>
      <c r="M50" s="266"/>
      <c r="N50" s="266"/>
      <c r="O50" s="266"/>
      <c r="P50" s="266"/>
      <c r="Q50" s="48">
        <f t="shared" si="10"/>
        <v>0</v>
      </c>
    </row>
    <row r="51" spans="2:17">
      <c r="B51" s="329"/>
      <c r="C51" s="293"/>
      <c r="D51" s="260" t="s">
        <v>52</v>
      </c>
      <c r="E51" s="266"/>
      <c r="F51" s="266"/>
      <c r="G51" s="266"/>
      <c r="H51" s="266"/>
      <c r="I51" s="266"/>
      <c r="J51" s="266"/>
      <c r="K51" s="266"/>
      <c r="L51" s="266"/>
      <c r="M51" s="266"/>
      <c r="N51" s="266"/>
      <c r="O51" s="266"/>
      <c r="P51" s="266"/>
      <c r="Q51" s="48">
        <f t="shared" si="10"/>
        <v>0</v>
      </c>
    </row>
    <row r="52" spans="2:17" ht="15.75" thickBot="1">
      <c r="B52" s="329"/>
      <c r="C52" s="294"/>
      <c r="D52" s="145" t="s">
        <v>98</v>
      </c>
      <c r="E52" s="141">
        <f>SUM(E47:E51)</f>
        <v>0</v>
      </c>
      <c r="F52" s="141">
        <f t="shared" ref="F52:P52" si="11">SUM(F47:F51)</f>
        <v>0</v>
      </c>
      <c r="G52" s="141">
        <f t="shared" si="11"/>
        <v>0</v>
      </c>
      <c r="H52" s="141">
        <f>SUM(H47:H51)</f>
        <v>0</v>
      </c>
      <c r="I52" s="141">
        <f t="shared" si="11"/>
        <v>0</v>
      </c>
      <c r="J52" s="141">
        <f t="shared" si="11"/>
        <v>0</v>
      </c>
      <c r="K52" s="141">
        <f t="shared" si="11"/>
        <v>0</v>
      </c>
      <c r="L52" s="141">
        <f t="shared" si="11"/>
        <v>0</v>
      </c>
      <c r="M52" s="141">
        <f t="shared" si="11"/>
        <v>0</v>
      </c>
      <c r="N52" s="141">
        <f t="shared" si="11"/>
        <v>0</v>
      </c>
      <c r="O52" s="141">
        <f t="shared" si="11"/>
        <v>0</v>
      </c>
      <c r="P52" s="141">
        <f t="shared" si="11"/>
        <v>0</v>
      </c>
      <c r="Q52" s="143">
        <f t="shared" si="10"/>
        <v>0</v>
      </c>
    </row>
    <row r="53" spans="2:17" ht="15.75" thickBot="1">
      <c r="B53" s="329"/>
      <c r="C53" s="130"/>
      <c r="D53" s="59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51"/>
    </row>
    <row r="54" spans="2:17">
      <c r="B54" s="329"/>
      <c r="C54" s="292" t="s">
        <v>49</v>
      </c>
      <c r="D54" s="257" t="s">
        <v>50</v>
      </c>
      <c r="E54" s="265"/>
      <c r="F54" s="265"/>
      <c r="G54" s="265"/>
      <c r="H54" s="265"/>
      <c r="I54" s="265"/>
      <c r="J54" s="265"/>
      <c r="K54" s="265"/>
      <c r="L54" s="265"/>
      <c r="M54" s="265"/>
      <c r="N54" s="265"/>
      <c r="O54" s="265"/>
      <c r="P54" s="265"/>
      <c r="Q54" s="47">
        <f>SUM(E54:P54)</f>
        <v>0</v>
      </c>
    </row>
    <row r="55" spans="2:17">
      <c r="B55" s="329"/>
      <c r="C55" s="293"/>
      <c r="D55" s="258" t="s">
        <v>51</v>
      </c>
      <c r="E55" s="266"/>
      <c r="F55" s="266"/>
      <c r="G55" s="266"/>
      <c r="H55" s="266"/>
      <c r="I55" s="266"/>
      <c r="J55" s="266"/>
      <c r="K55" s="266"/>
      <c r="L55" s="266"/>
      <c r="M55" s="266"/>
      <c r="N55" s="266"/>
      <c r="O55" s="266"/>
      <c r="P55" s="266"/>
      <c r="Q55" s="48">
        <f>SUM(E55:P55)</f>
        <v>0</v>
      </c>
    </row>
    <row r="56" spans="2:17">
      <c r="B56" s="329"/>
      <c r="C56" s="293"/>
      <c r="D56" s="258" t="s">
        <v>108</v>
      </c>
      <c r="E56" s="266"/>
      <c r="F56" s="266"/>
      <c r="G56" s="266"/>
      <c r="H56" s="266"/>
      <c r="I56" s="266"/>
      <c r="J56" s="266"/>
      <c r="K56" s="266"/>
      <c r="L56" s="266"/>
      <c r="M56" s="266"/>
      <c r="N56" s="266"/>
      <c r="O56" s="266"/>
      <c r="P56" s="266"/>
      <c r="Q56" s="48">
        <f t="shared" ref="Q56:Q57" si="12">SUM(E56:P56)</f>
        <v>0</v>
      </c>
    </row>
    <row r="57" spans="2:17">
      <c r="B57" s="329"/>
      <c r="C57" s="293"/>
      <c r="D57" s="258" t="s">
        <v>52</v>
      </c>
      <c r="E57" s="266"/>
      <c r="F57" s="266"/>
      <c r="G57" s="266"/>
      <c r="H57" s="266"/>
      <c r="I57" s="266"/>
      <c r="J57" s="266"/>
      <c r="K57" s="266"/>
      <c r="L57" s="266"/>
      <c r="M57" s="266"/>
      <c r="N57" s="266"/>
      <c r="O57" s="266"/>
      <c r="P57" s="266"/>
      <c r="Q57" s="48">
        <f t="shared" si="12"/>
        <v>0</v>
      </c>
    </row>
    <row r="58" spans="2:17" ht="15.75" thickBot="1">
      <c r="B58" s="329"/>
      <c r="C58" s="294"/>
      <c r="D58" s="144" t="s">
        <v>99</v>
      </c>
      <c r="E58" s="141">
        <f>SUM(E54:E57)</f>
        <v>0</v>
      </c>
      <c r="F58" s="141">
        <f>SUM(F54:F57)</f>
        <v>0</v>
      </c>
      <c r="G58" s="141">
        <f t="shared" ref="G58:P58" si="13">SUM(G54:G57)</f>
        <v>0</v>
      </c>
      <c r="H58" s="141">
        <f>SUM(H54:H57)</f>
        <v>0</v>
      </c>
      <c r="I58" s="141">
        <f>SUM(I54:I57)</f>
        <v>0</v>
      </c>
      <c r="J58" s="141">
        <f t="shared" si="13"/>
        <v>0</v>
      </c>
      <c r="K58" s="141">
        <f t="shared" si="13"/>
        <v>0</v>
      </c>
      <c r="L58" s="141">
        <f t="shared" si="13"/>
        <v>0</v>
      </c>
      <c r="M58" s="141">
        <f t="shared" si="13"/>
        <v>0</v>
      </c>
      <c r="N58" s="141">
        <f t="shared" si="13"/>
        <v>0</v>
      </c>
      <c r="O58" s="141">
        <f t="shared" si="13"/>
        <v>0</v>
      </c>
      <c r="P58" s="141">
        <f t="shared" si="13"/>
        <v>0</v>
      </c>
      <c r="Q58" s="143">
        <f>SUM(E58:P58)</f>
        <v>0</v>
      </c>
    </row>
    <row r="59" spans="2:17" ht="15.75" thickBot="1">
      <c r="B59" s="329"/>
      <c r="C59" s="130"/>
      <c r="D59" s="39"/>
      <c r="E59" s="61"/>
      <c r="F59" s="61"/>
      <c r="G59" s="61"/>
      <c r="H59" s="61"/>
      <c r="I59" s="61"/>
      <c r="J59" s="61"/>
      <c r="K59" s="62"/>
      <c r="L59" s="62"/>
      <c r="M59" s="63"/>
      <c r="N59" s="62"/>
      <c r="O59" s="62"/>
      <c r="P59" s="62"/>
      <c r="Q59" s="64"/>
    </row>
    <row r="60" spans="2:17" ht="15.75" thickBot="1">
      <c r="B60" s="329"/>
      <c r="C60" s="292" t="s">
        <v>52</v>
      </c>
      <c r="D60" s="257" t="s">
        <v>53</v>
      </c>
      <c r="E60" s="265"/>
      <c r="F60" s="265"/>
      <c r="G60" s="265"/>
      <c r="H60" s="265"/>
      <c r="I60" s="265"/>
      <c r="J60" s="265"/>
      <c r="K60" s="265"/>
      <c r="L60" s="265"/>
      <c r="M60" s="265"/>
      <c r="N60" s="265"/>
      <c r="O60" s="265"/>
      <c r="P60" s="265"/>
      <c r="Q60" s="65">
        <f>SUM(E60:P60)</f>
        <v>0</v>
      </c>
    </row>
    <row r="61" spans="2:17">
      <c r="B61" s="329"/>
      <c r="C61" s="293"/>
      <c r="D61" s="258" t="s">
        <v>136</v>
      </c>
      <c r="E61" s="266"/>
      <c r="F61" s="266"/>
      <c r="G61" s="266"/>
      <c r="H61" s="266"/>
      <c r="I61" s="266"/>
      <c r="J61" s="266"/>
      <c r="K61" s="266"/>
      <c r="L61" s="266"/>
      <c r="M61" s="266"/>
      <c r="N61" s="266"/>
      <c r="O61" s="266"/>
      <c r="P61" s="266"/>
      <c r="Q61" s="66">
        <f t="shared" ref="Q61:Q62" si="14">SUM(E61:P61)</f>
        <v>0</v>
      </c>
    </row>
    <row r="62" spans="2:17">
      <c r="B62" s="329"/>
      <c r="C62" s="293"/>
      <c r="D62" s="258" t="s">
        <v>52</v>
      </c>
      <c r="E62" s="266"/>
      <c r="F62" s="266"/>
      <c r="G62" s="266"/>
      <c r="H62" s="266"/>
      <c r="I62" s="266"/>
      <c r="J62" s="266"/>
      <c r="K62" s="266"/>
      <c r="L62" s="266"/>
      <c r="M62" s="266"/>
      <c r="N62" s="266"/>
      <c r="O62" s="266"/>
      <c r="P62" s="266"/>
      <c r="Q62" s="48">
        <f t="shared" si="14"/>
        <v>0</v>
      </c>
    </row>
    <row r="63" spans="2:17" ht="15.75" thickBot="1">
      <c r="B63" s="329"/>
      <c r="C63" s="294"/>
      <c r="D63" s="144" t="s">
        <v>100</v>
      </c>
      <c r="E63" s="141">
        <f>SUM(E60:E62)</f>
        <v>0</v>
      </c>
      <c r="F63" s="141">
        <f>SUM(F60:F62)</f>
        <v>0</v>
      </c>
      <c r="G63" s="141">
        <f t="shared" ref="G63:P63" si="15">SUM(G60:G62)</f>
        <v>0</v>
      </c>
      <c r="H63" s="141">
        <f>SUM(H60:H62)</f>
        <v>0</v>
      </c>
      <c r="I63" s="141">
        <f>SUM(I60:I62)</f>
        <v>0</v>
      </c>
      <c r="J63" s="141">
        <f t="shared" si="15"/>
        <v>0</v>
      </c>
      <c r="K63" s="141">
        <f t="shared" si="15"/>
        <v>0</v>
      </c>
      <c r="L63" s="141">
        <f t="shared" si="15"/>
        <v>0</v>
      </c>
      <c r="M63" s="141">
        <f t="shared" si="15"/>
        <v>0</v>
      </c>
      <c r="N63" s="141">
        <f t="shared" si="15"/>
        <v>0</v>
      </c>
      <c r="O63" s="141">
        <f t="shared" si="15"/>
        <v>0</v>
      </c>
      <c r="P63" s="141">
        <f t="shared" si="15"/>
        <v>0</v>
      </c>
      <c r="Q63" s="143">
        <f t="shared" ref="Q63" si="16">SUM(Q60:Q61)</f>
        <v>0</v>
      </c>
    </row>
    <row r="64" spans="2:17" ht="15.75" thickBot="1">
      <c r="B64" s="329"/>
      <c r="C64" s="13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2:17" ht="15.75" thickBot="1">
      <c r="B65" s="330"/>
      <c r="C65" s="130"/>
      <c r="D65" s="134" t="s">
        <v>101</v>
      </c>
      <c r="E65" s="135">
        <f>SUM(E63,E58,E52,E45,E38,E31,E25,E15)</f>
        <v>0</v>
      </c>
      <c r="F65" s="135">
        <f t="shared" ref="F65:Q65" si="17">SUM(F63,F58,F52,F45,F38,F31,F25,F15)</f>
        <v>0</v>
      </c>
      <c r="G65" s="135">
        <f t="shared" si="17"/>
        <v>0</v>
      </c>
      <c r="H65" s="135">
        <f t="shared" si="17"/>
        <v>0</v>
      </c>
      <c r="I65" s="135">
        <f t="shared" si="17"/>
        <v>0</v>
      </c>
      <c r="J65" s="135">
        <f t="shared" si="17"/>
        <v>0</v>
      </c>
      <c r="K65" s="135">
        <f t="shared" si="17"/>
        <v>0</v>
      </c>
      <c r="L65" s="135">
        <f t="shared" si="17"/>
        <v>0</v>
      </c>
      <c r="M65" s="135">
        <f t="shared" si="17"/>
        <v>0</v>
      </c>
      <c r="N65" s="135">
        <f t="shared" si="17"/>
        <v>0</v>
      </c>
      <c r="O65" s="135">
        <f t="shared" si="17"/>
        <v>0</v>
      </c>
      <c r="P65" s="135">
        <f t="shared" si="17"/>
        <v>0</v>
      </c>
      <c r="Q65" s="135">
        <f t="shared" si="17"/>
        <v>0</v>
      </c>
    </row>
    <row r="68" spans="2:17">
      <c r="E68" s="7"/>
      <c r="F68" s="237"/>
    </row>
    <row r="69" spans="2:17">
      <c r="E69" s="181"/>
      <c r="F69" s="237"/>
    </row>
    <row r="70" spans="2:17">
      <c r="E70" s="181"/>
    </row>
  </sheetData>
  <mergeCells count="9">
    <mergeCell ref="B3:B65"/>
    <mergeCell ref="C3:C15"/>
    <mergeCell ref="C17:C25"/>
    <mergeCell ref="C27:C31"/>
    <mergeCell ref="C33:C38"/>
    <mergeCell ref="C40:C45"/>
    <mergeCell ref="C47:C52"/>
    <mergeCell ref="C54:C58"/>
    <mergeCell ref="C60:C63"/>
  </mergeCells>
  <conditionalFormatting sqref="E15:Q15">
    <cfRule type="cellIs" dxfId="40" priority="42" stopIfTrue="1" operator="greaterThan">
      <formula>#REF!</formula>
    </cfRule>
  </conditionalFormatting>
  <conditionalFormatting sqref="E25:Q25 E31:Q31 E38:Q38 E45:Q45 E52:Q52 E58:Q58 E63:Q63 E65:Q65">
    <cfRule type="cellIs" dxfId="39" priority="43" stopIfTrue="1" operator="greaterThan">
      <formula>#REF!</formula>
    </cfRule>
  </conditionalFormatting>
  <conditionalFormatting sqref="D60:D62 D54:D57 D47:D51 D40:D44 D33:D37 D27:D30 D3:D14 D17:D24">
    <cfRule type="notContainsBlanks" dxfId="38" priority="3">
      <formula>LEN(TRIM(D3))&gt;0</formula>
    </cfRule>
  </conditionalFormatting>
  <conditionalFormatting sqref="E3:P14 E17:P24 E33:P37 E40:P44 E27:P30 E47:P51 E54:P57 E60:P62">
    <cfRule type="notContainsBlanks" dxfId="37" priority="45">
      <formula>LEN(TRIM(E3))&gt;0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/>
  <dimension ref="B15:X32"/>
  <sheetViews>
    <sheetView showGridLines="0" showRowColHeaders="0" zoomScale="90" zoomScaleNormal="90" workbookViewId="0"/>
  </sheetViews>
  <sheetFormatPr defaultRowHeight="15"/>
  <cols>
    <col min="9" max="9" width="17" customWidth="1"/>
    <col min="10" max="10" width="17.140625" customWidth="1"/>
    <col min="11" max="11" width="13.5703125" customWidth="1"/>
    <col min="12" max="12" width="17.85546875" customWidth="1"/>
    <col min="13" max="13" width="16.42578125" customWidth="1"/>
    <col min="14" max="14" width="12.85546875" customWidth="1"/>
    <col min="15" max="15" width="16.42578125" customWidth="1"/>
    <col min="16" max="16" width="26.140625" customWidth="1"/>
    <col min="17" max="17" width="6.5703125" customWidth="1"/>
    <col min="18" max="18" width="9" customWidth="1"/>
    <col min="19" max="19" width="8" customWidth="1"/>
    <col min="20" max="20" width="9.5703125" customWidth="1"/>
    <col min="21" max="21" width="9.42578125" customWidth="1"/>
    <col min="22" max="22" width="4.140625" customWidth="1"/>
    <col min="23" max="23" width="6.42578125" customWidth="1"/>
    <col min="24" max="24" width="10" customWidth="1"/>
    <col min="25" max="25" width="21.7109375" customWidth="1"/>
    <col min="26" max="26" width="25.28515625" customWidth="1"/>
    <col min="27" max="27" width="26.28515625" customWidth="1"/>
    <col min="28" max="28" width="24" customWidth="1"/>
    <col min="29" max="29" width="23.140625" customWidth="1"/>
    <col min="30" max="30" width="27.140625" customWidth="1"/>
    <col min="31" max="31" width="34.85546875" customWidth="1"/>
    <col min="32" max="32" width="23" customWidth="1"/>
    <col min="33" max="33" width="26.5703125" customWidth="1"/>
    <col min="34" max="34" width="27.5703125" customWidth="1"/>
    <col min="35" max="35" width="25.42578125" customWidth="1"/>
    <col min="36" max="36" width="24.42578125" customWidth="1"/>
    <col min="37" max="37" width="25.42578125" customWidth="1"/>
    <col min="38" max="38" width="26.7109375" customWidth="1"/>
    <col min="39" max="39" width="25.85546875" customWidth="1"/>
    <col min="40" max="40" width="33.5703125" customWidth="1"/>
    <col min="41" max="41" width="21.7109375" customWidth="1"/>
    <col min="42" max="42" width="25.28515625" customWidth="1"/>
    <col min="43" max="43" width="26.28515625" customWidth="1"/>
    <col min="44" max="44" width="24" customWidth="1"/>
    <col min="45" max="45" width="23.140625" customWidth="1"/>
    <col min="46" max="46" width="26.5703125" customWidth="1"/>
    <col min="47" max="47" width="27.5703125" customWidth="1"/>
    <col min="48" max="48" width="25.42578125" customWidth="1"/>
    <col min="49" max="49" width="24.42578125" customWidth="1"/>
    <col min="50" max="50" width="25.42578125" customWidth="1"/>
    <col min="51" max="51" width="25.85546875" customWidth="1"/>
    <col min="52" max="52" width="33.5703125" customWidth="1"/>
    <col min="53" max="53" width="21.7109375" customWidth="1"/>
    <col min="54" max="54" width="25.28515625" customWidth="1"/>
    <col min="55" max="55" width="26.28515625" customWidth="1"/>
    <col min="56" max="56" width="24" customWidth="1"/>
    <col min="57" max="57" width="23.140625" customWidth="1"/>
    <col min="58" max="58" width="24.42578125" customWidth="1"/>
    <col min="59" max="59" width="25.42578125" customWidth="1"/>
    <col min="60" max="60" width="33.5703125" customWidth="1"/>
    <col min="61" max="61" width="21.7109375" customWidth="1"/>
    <col min="62" max="62" width="25.28515625" customWidth="1"/>
    <col min="63" max="63" width="26.28515625" customWidth="1"/>
    <col min="64" max="64" width="24" customWidth="1"/>
    <col min="65" max="65" width="23.140625" customWidth="1"/>
    <col min="66" max="117" width="18.42578125" customWidth="1"/>
    <col min="118" max="140" width="18.42578125" bestFit="1" customWidth="1"/>
    <col min="141" max="141" width="19.42578125" bestFit="1" customWidth="1"/>
    <col min="142" max="142" width="21.28515625" bestFit="1" customWidth="1"/>
    <col min="143" max="143" width="18.7109375" bestFit="1" customWidth="1"/>
    <col min="144" max="144" width="17.28515625" bestFit="1" customWidth="1"/>
    <col min="145" max="145" width="17.5703125" bestFit="1" customWidth="1"/>
    <col min="146" max="146" width="18.42578125" bestFit="1" customWidth="1"/>
    <col min="147" max="147" width="17.7109375" bestFit="1" customWidth="1"/>
    <col min="148" max="148" width="19.140625" bestFit="1" customWidth="1"/>
    <col min="149" max="149" width="21.5703125" bestFit="1" customWidth="1"/>
    <col min="150" max="150" width="20.5703125" bestFit="1" customWidth="1"/>
    <col min="151" max="151" width="22.28515625" bestFit="1" customWidth="1"/>
    <col min="152" max="152" width="22.140625" bestFit="1" customWidth="1"/>
  </cols>
  <sheetData>
    <row r="15" spans="8:20">
      <c r="H15" s="3"/>
    </row>
    <row r="16" spans="8:20">
      <c r="H16" s="3"/>
      <c r="I16" s="29"/>
      <c r="J16" s="30"/>
      <c r="K16" s="30"/>
      <c r="L16" s="30"/>
      <c r="M16" s="30"/>
      <c r="N16" s="30"/>
      <c r="O16" s="30"/>
      <c r="P16" s="7"/>
      <c r="Q16" s="7"/>
      <c r="R16" s="7"/>
      <c r="S16" s="7"/>
      <c r="T16" s="7"/>
    </row>
    <row r="17" spans="2:24">
      <c r="H17" s="3"/>
      <c r="I17" s="29"/>
      <c r="J17" s="30"/>
      <c r="K17" s="30"/>
      <c r="L17" s="30"/>
      <c r="M17" s="30"/>
      <c r="N17" s="30"/>
      <c r="O17" s="30"/>
      <c r="P17" s="7"/>
      <c r="Q17" s="7"/>
      <c r="R17" s="7"/>
      <c r="S17" s="7"/>
      <c r="T17" s="7"/>
      <c r="U17" s="30"/>
      <c r="V17" s="30"/>
      <c r="W17" s="30"/>
      <c r="X17" s="30"/>
    </row>
    <row r="18" spans="2:24">
      <c r="H18" s="3"/>
      <c r="I18" s="29"/>
      <c r="J18" s="30"/>
      <c r="K18" s="30"/>
      <c r="L18" s="30"/>
      <c r="M18" s="30"/>
      <c r="N18" s="30"/>
      <c r="O18" s="30"/>
      <c r="P18" s="7"/>
      <c r="Q18" s="7"/>
      <c r="R18" s="7"/>
      <c r="S18" s="7"/>
      <c r="T18" s="7"/>
      <c r="U18" s="30"/>
      <c r="V18" s="30"/>
      <c r="W18" s="30"/>
      <c r="X18" s="30"/>
    </row>
    <row r="19" spans="2:24">
      <c r="H19" s="3"/>
      <c r="I19" s="29"/>
      <c r="J19" s="30"/>
      <c r="K19" s="30"/>
      <c r="L19" s="30"/>
      <c r="M19" s="30"/>
      <c r="N19" s="30"/>
      <c r="O19" s="30"/>
      <c r="P19" s="7"/>
      <c r="Q19" s="7"/>
      <c r="R19" s="7"/>
      <c r="S19" s="7"/>
      <c r="T19" s="7"/>
      <c r="U19" s="30"/>
      <c r="V19" s="30"/>
      <c r="W19" s="30"/>
      <c r="X19" s="30"/>
    </row>
    <row r="20" spans="2:24">
      <c r="H20" s="3"/>
      <c r="I20" s="29"/>
      <c r="K20" s="148"/>
      <c r="L20" s="30"/>
      <c r="M20" s="30"/>
      <c r="N20" s="30"/>
      <c r="O20" s="30"/>
      <c r="P20" s="7"/>
      <c r="Q20" s="7"/>
      <c r="R20" s="7"/>
      <c r="S20" s="7"/>
      <c r="T20" s="7"/>
      <c r="U20" s="30"/>
      <c r="V20" s="30"/>
      <c r="W20" s="30"/>
      <c r="X20" s="30"/>
    </row>
    <row r="21" spans="2:24">
      <c r="H21" s="3"/>
      <c r="I21" s="29"/>
      <c r="J21" s="30"/>
      <c r="K21" s="148"/>
      <c r="L21" s="30"/>
      <c r="M21" s="30"/>
      <c r="N21" s="30"/>
      <c r="O21" s="30"/>
      <c r="P21" s="7"/>
      <c r="Q21" s="7"/>
      <c r="R21" s="7"/>
      <c r="S21" s="7"/>
      <c r="T21" s="7"/>
      <c r="U21" s="30"/>
      <c r="V21" s="30"/>
      <c r="W21" s="30"/>
      <c r="X21" s="30"/>
    </row>
    <row r="22" spans="2:24">
      <c r="H22" s="3"/>
      <c r="I22" s="29"/>
      <c r="J22" s="30"/>
      <c r="K22" s="30"/>
      <c r="L22" s="30"/>
      <c r="M22" s="30"/>
      <c r="N22" s="30"/>
      <c r="O22" s="30"/>
      <c r="P22" s="7"/>
      <c r="Q22" s="7"/>
      <c r="R22" s="7"/>
      <c r="S22" s="7"/>
      <c r="T22" s="7"/>
      <c r="U22" s="30"/>
      <c r="V22" s="30"/>
      <c r="W22" s="30"/>
      <c r="X22" s="30"/>
    </row>
    <row r="23" spans="2:24">
      <c r="H23" s="3"/>
      <c r="I23" s="29"/>
      <c r="J23" s="30"/>
      <c r="K23" s="30"/>
      <c r="L23" s="30"/>
      <c r="M23" s="30"/>
      <c r="N23" s="30"/>
      <c r="O23" s="30"/>
      <c r="P23" s="7"/>
      <c r="Q23" s="7"/>
      <c r="R23" s="7"/>
      <c r="S23" s="7"/>
      <c r="T23" s="7"/>
      <c r="U23" s="30"/>
      <c r="V23" s="30"/>
      <c r="W23" s="30"/>
      <c r="X23" s="30"/>
    </row>
    <row r="24" spans="2:24">
      <c r="H24" s="3"/>
      <c r="I24" s="29"/>
      <c r="J24" s="30"/>
      <c r="K24" s="30"/>
      <c r="L24" s="30"/>
      <c r="M24" s="30"/>
      <c r="N24" s="30"/>
      <c r="O24" s="30"/>
      <c r="P24" s="7"/>
      <c r="Q24" s="7"/>
      <c r="R24" s="7"/>
      <c r="S24" s="7"/>
      <c r="T24" s="7"/>
      <c r="U24" s="30"/>
      <c r="V24" s="30"/>
      <c r="W24" s="30"/>
      <c r="X24" s="30"/>
    </row>
    <row r="25" spans="2:24">
      <c r="H25" s="3"/>
      <c r="I25" s="29"/>
      <c r="J25" s="30"/>
      <c r="K25" s="30"/>
      <c r="L25" s="30"/>
      <c r="M25" s="30"/>
      <c r="N25" s="30"/>
      <c r="O25" s="30"/>
      <c r="P25" s="7"/>
      <c r="Q25" s="7"/>
      <c r="R25" s="7"/>
      <c r="S25" s="7"/>
      <c r="T25" s="7"/>
      <c r="U25" s="30"/>
      <c r="V25" s="30"/>
      <c r="W25" s="30"/>
      <c r="X25" s="30"/>
    </row>
    <row r="26" spans="2:24">
      <c r="H26" s="3"/>
      <c r="I26" s="29"/>
      <c r="J26" s="30"/>
      <c r="K26" s="30"/>
      <c r="L26" s="30"/>
      <c r="M26" s="30"/>
      <c r="N26" s="30"/>
      <c r="O26" s="30"/>
      <c r="P26" s="7"/>
      <c r="Q26" s="7"/>
      <c r="R26" s="7"/>
      <c r="S26" s="7"/>
      <c r="T26" s="7"/>
      <c r="U26" s="30"/>
      <c r="V26" s="30"/>
      <c r="W26" s="30"/>
      <c r="X26" s="30"/>
    </row>
    <row r="27" spans="2:24">
      <c r="H27" s="3"/>
      <c r="I27" s="29"/>
      <c r="J27" s="30"/>
      <c r="K27" s="30"/>
      <c r="L27" s="30"/>
      <c r="M27" s="30"/>
      <c r="N27" s="30"/>
      <c r="O27" s="30"/>
      <c r="P27" s="7"/>
      <c r="Q27" s="7"/>
      <c r="R27" s="7"/>
      <c r="S27" s="7"/>
      <c r="T27" s="7"/>
      <c r="U27" s="30"/>
      <c r="V27" s="30"/>
      <c r="W27" s="30"/>
      <c r="X27" s="30"/>
    </row>
    <row r="28" spans="2:24">
      <c r="H28" s="3"/>
      <c r="I28" s="29"/>
      <c r="J28" s="30"/>
      <c r="K28" s="30"/>
      <c r="L28" s="30"/>
      <c r="M28" s="30"/>
      <c r="N28" s="30"/>
      <c r="O28" s="30"/>
      <c r="P28" s="7"/>
      <c r="Q28" s="7"/>
      <c r="R28" s="7"/>
      <c r="S28" s="7"/>
      <c r="T28" s="7"/>
    </row>
    <row r="29" spans="2:24">
      <c r="O29" s="7"/>
      <c r="P29" s="7"/>
    </row>
    <row r="30" spans="2:24">
      <c r="L30" s="7"/>
      <c r="M30" s="7"/>
      <c r="N30" s="7"/>
      <c r="O30" s="7"/>
      <c r="P30" s="7"/>
    </row>
    <row r="31" spans="2:24">
      <c r="B31" s="23"/>
    </row>
    <row r="32" spans="2:24">
      <c r="B32" s="23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rop Down 1">
              <controlPr defaultSize="0" autoLine="0" autoPict="0">
                <anchor moveWithCells="1">
                  <from>
                    <xdr:col>8</xdr:col>
                    <xdr:colOff>381000</xdr:colOff>
                    <xdr:row>1</xdr:row>
                    <xdr:rowOff>19050</xdr:rowOff>
                  </from>
                  <to>
                    <xdr:col>9</xdr:col>
                    <xdr:colOff>1104900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N113"/>
  <sheetViews>
    <sheetView showGridLines="0" zoomScale="96" zoomScaleNormal="96" workbookViewId="0">
      <pane ySplit="6" topLeftCell="A105" activePane="bottomLeft" state="frozen"/>
      <selection pane="bottomLeft" activeCell="H2" sqref="H2"/>
    </sheetView>
  </sheetViews>
  <sheetFormatPr defaultRowHeight="15"/>
  <cols>
    <col min="1" max="1" width="8.140625" customWidth="1"/>
    <col min="2" max="2" width="38.140625" bestFit="1" customWidth="1"/>
    <col min="3" max="3" width="20.5703125" bestFit="1" customWidth="1"/>
    <col min="4" max="4" width="13" bestFit="1" customWidth="1"/>
    <col min="5" max="6" width="13.42578125" bestFit="1" customWidth="1"/>
    <col min="7" max="7" width="13" bestFit="1" customWidth="1"/>
    <col min="8" max="8" width="12.7109375" bestFit="1" customWidth="1"/>
    <col min="9" max="10" width="12.28515625" bestFit="1" customWidth="1"/>
    <col min="11" max="11" width="11" bestFit="1" customWidth="1"/>
    <col min="12" max="12" width="12.28515625" bestFit="1" customWidth="1"/>
    <col min="13" max="13" width="11.140625" bestFit="1" customWidth="1"/>
    <col min="14" max="14" width="12.28515625" bestFit="1" customWidth="1"/>
  </cols>
  <sheetData>
    <row r="1" spans="2:14">
      <c r="G1" s="331" t="s">
        <v>161</v>
      </c>
      <c r="H1" s="331"/>
      <c r="I1" s="331"/>
      <c r="J1" s="331"/>
      <c r="K1" s="331"/>
      <c r="L1" s="331"/>
      <c r="M1" s="331"/>
      <c r="N1" s="331"/>
    </row>
    <row r="2" spans="2:14" ht="23.25" customHeight="1">
      <c r="B2" s="172" t="s">
        <v>139</v>
      </c>
      <c r="C2" s="244"/>
      <c r="G2" s="173" t="s">
        <v>140</v>
      </c>
      <c r="H2" s="174">
        <f>Geral!F134</f>
        <v>0</v>
      </c>
      <c r="I2" s="173" t="s">
        <v>141</v>
      </c>
      <c r="J2" s="174">
        <f>Geral!I134</f>
        <v>0</v>
      </c>
      <c r="K2" s="173" t="s">
        <v>142</v>
      </c>
      <c r="L2" s="174">
        <f>Geral!L134</f>
        <v>0</v>
      </c>
      <c r="M2" s="173" t="s">
        <v>143</v>
      </c>
      <c r="N2" s="174">
        <f>Geral!O134</f>
        <v>0</v>
      </c>
    </row>
    <row r="3" spans="2:14">
      <c r="B3" s="175" t="s">
        <v>144</v>
      </c>
      <c r="C3" s="176" t="s">
        <v>145</v>
      </c>
      <c r="D3" s="176" t="s">
        <v>146</v>
      </c>
      <c r="E3" s="176" t="s">
        <v>147</v>
      </c>
      <c r="G3" s="177" t="s">
        <v>148</v>
      </c>
      <c r="H3" s="174">
        <f>Geral!G134</f>
        <v>0</v>
      </c>
      <c r="I3" s="173" t="s">
        <v>149</v>
      </c>
      <c r="J3" s="174">
        <f>Geral!J134</f>
        <v>0</v>
      </c>
      <c r="K3" s="173" t="s">
        <v>150</v>
      </c>
      <c r="L3" s="174">
        <f>Geral!M134</f>
        <v>0</v>
      </c>
      <c r="M3" s="173" t="s">
        <v>151</v>
      </c>
      <c r="N3" s="174">
        <f>Geral!P134</f>
        <v>0</v>
      </c>
    </row>
    <row r="4" spans="2:14">
      <c r="B4" s="178" t="s">
        <v>180</v>
      </c>
      <c r="C4" s="179">
        <f>(D7+D16+D25+D34+D43+D52+D61+D70+D79+D88+D97+D106)/12</f>
        <v>0</v>
      </c>
      <c r="D4" s="179">
        <f>(E7+E16+E25+E34+E43+E52+E61+E70+E79+E88+E97+E106)/12</f>
        <v>0</v>
      </c>
      <c r="E4" s="179">
        <f>(F7+F16+F25+F34+F43+F52+F61+F70+F79+F88+F97+F106)/12</f>
        <v>0</v>
      </c>
      <c r="G4" s="177" t="s">
        <v>152</v>
      </c>
      <c r="H4" s="174">
        <f>Geral!H134</f>
        <v>0</v>
      </c>
      <c r="I4" s="173" t="s">
        <v>153</v>
      </c>
      <c r="J4" s="174">
        <f>Geral!K134</f>
        <v>0</v>
      </c>
      <c r="K4" s="173" t="s">
        <v>154</v>
      </c>
      <c r="L4" s="174">
        <f>Geral!N134</f>
        <v>0</v>
      </c>
      <c r="M4" s="173" t="s">
        <v>155</v>
      </c>
      <c r="N4" s="174">
        <f>Geral!Q134</f>
        <v>0</v>
      </c>
    </row>
    <row r="5" spans="2:14" ht="15.75" thickBot="1">
      <c r="G5" s="184"/>
      <c r="I5" s="184"/>
    </row>
    <row r="6" spans="2:14" ht="15.75" thickBot="1">
      <c r="B6" s="211" t="s">
        <v>103</v>
      </c>
      <c r="C6" s="212" t="s">
        <v>156</v>
      </c>
      <c r="D6" s="213" t="s">
        <v>145</v>
      </c>
      <c r="E6" s="213" t="s">
        <v>146</v>
      </c>
      <c r="F6" s="213" t="s">
        <v>147</v>
      </c>
      <c r="G6" s="214" t="s">
        <v>157</v>
      </c>
      <c r="H6" s="212" t="s">
        <v>158</v>
      </c>
      <c r="I6" s="212" t="s">
        <v>159</v>
      </c>
    </row>
    <row r="7" spans="2:14">
      <c r="B7" s="334" t="s">
        <v>160</v>
      </c>
      <c r="C7" s="209" t="s">
        <v>214</v>
      </c>
      <c r="D7" s="245"/>
      <c r="E7" s="245"/>
      <c r="F7" s="245"/>
      <c r="G7" s="210"/>
      <c r="H7" s="210"/>
      <c r="I7" s="210"/>
    </row>
    <row r="8" spans="2:14" ht="15" customHeight="1">
      <c r="B8" s="334"/>
      <c r="C8" s="187" t="s">
        <v>161</v>
      </c>
      <c r="D8" s="194">
        <f>H2*D7</f>
        <v>0</v>
      </c>
      <c r="E8" s="194">
        <f>H2*E7</f>
        <v>0</v>
      </c>
      <c r="F8" s="194">
        <f>H2*F7</f>
        <v>0</v>
      </c>
      <c r="G8" s="195">
        <f>SUM(D8:F8)</f>
        <v>0</v>
      </c>
      <c r="H8" s="267"/>
      <c r="I8" s="196" t="str">
        <f>IFERROR(G8/H8,"")</f>
        <v/>
      </c>
    </row>
    <row r="9" spans="2:14">
      <c r="B9" s="334"/>
      <c r="C9" s="187" t="s">
        <v>162</v>
      </c>
      <c r="D9" s="197">
        <f>D8+(C2*C4)</f>
        <v>0</v>
      </c>
      <c r="E9" s="197">
        <f>E8+(C2*D4)</f>
        <v>0</v>
      </c>
      <c r="F9" s="197">
        <f>F8+(C2*E4)</f>
        <v>0</v>
      </c>
      <c r="G9" s="198">
        <f>SUM(D9:F9)</f>
        <v>0</v>
      </c>
      <c r="H9" s="199">
        <f>IFERROR(H8,"")</f>
        <v>0</v>
      </c>
      <c r="I9" s="196" t="str">
        <f>IFERROR(G9/H9,"")</f>
        <v/>
      </c>
    </row>
    <row r="10" spans="2:14">
      <c r="B10" s="334"/>
      <c r="C10" s="187" t="s">
        <v>163</v>
      </c>
      <c r="D10" s="246"/>
      <c r="E10" s="246"/>
      <c r="F10" s="246"/>
      <c r="G10" s="200" t="str">
        <f>IFERROR((G13-G9)/G9,"")</f>
        <v/>
      </c>
      <c r="H10" s="205"/>
      <c r="I10" s="206"/>
    </row>
    <row r="11" spans="2:14">
      <c r="B11" s="334"/>
      <c r="C11" s="215" t="s">
        <v>181</v>
      </c>
      <c r="D11" s="216" t="str">
        <f>IF(D10&gt;0,D9*D10,"")</f>
        <v/>
      </c>
      <c r="E11" s="216" t="str">
        <f>IF(E10&gt;0,E9*E10,"")</f>
        <v/>
      </c>
      <c r="F11" s="216" t="str">
        <f>IF(F10&gt;0,F9*F10,"")</f>
        <v/>
      </c>
      <c r="G11" s="220">
        <f>SUM(D11:F11)</f>
        <v>0</v>
      </c>
      <c r="H11" s="205"/>
      <c r="I11" s="206"/>
    </row>
    <row r="12" spans="2:14">
      <c r="B12" s="334"/>
      <c r="C12" s="217" t="s">
        <v>182</v>
      </c>
      <c r="D12" s="218" t="str">
        <f>IF(D10&lt;0,D9*D10,"")</f>
        <v/>
      </c>
      <c r="E12" s="218" t="str">
        <f>IF(E10&lt;0,E9*E10,"")</f>
        <v/>
      </c>
      <c r="F12" s="218" t="str">
        <f>IF(F10&lt;0,F9*F10,"")</f>
        <v/>
      </c>
      <c r="G12" s="219">
        <f>SUM(D12:F12)</f>
        <v>0</v>
      </c>
      <c r="H12" s="205"/>
      <c r="I12" s="206"/>
    </row>
    <row r="13" spans="2:14">
      <c r="B13" s="335"/>
      <c r="C13" s="187" t="s">
        <v>164</v>
      </c>
      <c r="D13" s="197">
        <f>D9*(1+D10)</f>
        <v>0</v>
      </c>
      <c r="E13" s="197">
        <f>E9*(1+E10)</f>
        <v>0</v>
      </c>
      <c r="F13" s="197">
        <f t="shared" ref="F13" si="0">F9*(1+F10)</f>
        <v>0</v>
      </c>
      <c r="G13" s="198">
        <f>SUM(D13:F13)</f>
        <v>0</v>
      </c>
      <c r="H13" s="199" t="str">
        <f>IFERROR(G13/I13,"")</f>
        <v/>
      </c>
      <c r="I13" s="196" t="str">
        <f>IFERROR(I9,"")</f>
        <v/>
      </c>
    </row>
    <row r="14" spans="2:14">
      <c r="B14" s="180" t="s">
        <v>165</v>
      </c>
      <c r="C14" s="188"/>
      <c r="D14" s="189"/>
      <c r="E14" s="190"/>
      <c r="F14" s="188"/>
      <c r="G14" s="191" t="str">
        <f>IFERROR((H13/H9)-1,"")</f>
        <v/>
      </c>
      <c r="H14" s="192"/>
      <c r="I14" s="193"/>
    </row>
    <row r="15" spans="2:14">
      <c r="G15" s="1"/>
      <c r="H15" s="1"/>
      <c r="I15" s="1"/>
    </row>
    <row r="16" spans="2:14">
      <c r="B16" s="332" t="s">
        <v>166</v>
      </c>
      <c r="C16" s="209" t="s">
        <v>214</v>
      </c>
      <c r="D16" s="245"/>
      <c r="E16" s="247"/>
      <c r="F16" s="247"/>
      <c r="G16" s="204"/>
      <c r="H16" s="204"/>
      <c r="I16" s="204"/>
    </row>
    <row r="17" spans="2:11" ht="15" customHeight="1">
      <c r="B17" s="332"/>
      <c r="C17" s="187" t="s">
        <v>161</v>
      </c>
      <c r="D17" s="194">
        <f>H3*D16</f>
        <v>0</v>
      </c>
      <c r="E17" s="194">
        <f>H3*E16</f>
        <v>0</v>
      </c>
      <c r="F17" s="194">
        <f>H3*F16</f>
        <v>0</v>
      </c>
      <c r="G17" s="195">
        <f>SUM(D17:F17)</f>
        <v>0</v>
      </c>
      <c r="H17" s="199" t="str">
        <f>H13</f>
        <v/>
      </c>
      <c r="I17" s="202" t="str">
        <f>IFERROR(G17/H17,"")</f>
        <v/>
      </c>
      <c r="K17" s="181"/>
    </row>
    <row r="18" spans="2:11">
      <c r="B18" s="332"/>
      <c r="C18" s="187" t="s">
        <v>162</v>
      </c>
      <c r="D18" s="194">
        <f>D17+D13</f>
        <v>0</v>
      </c>
      <c r="E18" s="197">
        <f>E13+E17</f>
        <v>0</v>
      </c>
      <c r="F18" s="197">
        <f>F17+F13</f>
        <v>0</v>
      </c>
      <c r="G18" s="195">
        <f>SUM(D18:F18)</f>
        <v>0</v>
      </c>
      <c r="H18" s="199" t="str">
        <f>H13</f>
        <v/>
      </c>
      <c r="I18" s="203" t="str">
        <f>IFERROR(I17+I13,"")</f>
        <v/>
      </c>
      <c r="K18" s="182"/>
    </row>
    <row r="19" spans="2:11">
      <c r="B19" s="332"/>
      <c r="C19" s="187" t="s">
        <v>163</v>
      </c>
      <c r="D19" s="246"/>
      <c r="E19" s="246"/>
      <c r="F19" s="246"/>
      <c r="G19" s="200" t="str">
        <f>IFERROR((G22-G18)/G18,"")</f>
        <v/>
      </c>
      <c r="H19" s="205"/>
      <c r="I19" s="207"/>
    </row>
    <row r="20" spans="2:11">
      <c r="B20" s="332"/>
      <c r="C20" s="215" t="s">
        <v>181</v>
      </c>
      <c r="D20" s="216" t="str">
        <f>IF(D19&gt;0,D18*D19,"")</f>
        <v/>
      </c>
      <c r="E20" s="216" t="str">
        <f>IF(E19&gt;0,E18*E19,"")</f>
        <v/>
      </c>
      <c r="F20" s="216" t="str">
        <f>IF(F19&gt;0,F18*F19,"")</f>
        <v/>
      </c>
      <c r="G20" s="220">
        <f>SUM(D20:F20)</f>
        <v>0</v>
      </c>
      <c r="H20" s="205"/>
      <c r="I20" s="207"/>
    </row>
    <row r="21" spans="2:11">
      <c r="B21" s="332"/>
      <c r="C21" s="217" t="s">
        <v>182</v>
      </c>
      <c r="D21" s="218" t="str">
        <f>IF(D19&lt;0,D18*D19,"")</f>
        <v/>
      </c>
      <c r="E21" s="218" t="str">
        <f>IF(E19&lt;0,E18*E19,"")</f>
        <v/>
      </c>
      <c r="F21" s="218" t="str">
        <f>IF(F19&lt;0,F18*F19,"")</f>
        <v/>
      </c>
      <c r="G21" s="219">
        <f>SUM(D21:F21)</f>
        <v>0</v>
      </c>
      <c r="H21" s="205"/>
      <c r="I21" s="207"/>
    </row>
    <row r="22" spans="2:11" ht="15.75" customHeight="1">
      <c r="B22" s="333"/>
      <c r="C22" s="187" t="s">
        <v>164</v>
      </c>
      <c r="D22" s="194">
        <f>D18*(1+D19)</f>
        <v>0</v>
      </c>
      <c r="E22" s="194">
        <f>E18*(1+E19)</f>
        <v>0</v>
      </c>
      <c r="F22" s="194">
        <f>F18*(1+F19)</f>
        <v>0</v>
      </c>
      <c r="G22" s="195">
        <f>SUM(D22:F22)</f>
        <v>0</v>
      </c>
      <c r="H22" s="199" t="str">
        <f>IFERROR(G22/I22,"")</f>
        <v/>
      </c>
      <c r="I22" s="203" t="str">
        <f>I18</f>
        <v/>
      </c>
    </row>
    <row r="23" spans="2:11">
      <c r="B23" s="180" t="s">
        <v>165</v>
      </c>
      <c r="C23" s="188"/>
      <c r="D23" s="189"/>
      <c r="E23" s="190"/>
      <c r="F23" s="188"/>
      <c r="G23" s="191" t="str">
        <f>IFERROR((H22/H9)-1,"")</f>
        <v/>
      </c>
      <c r="H23" s="192"/>
      <c r="I23" s="201"/>
    </row>
    <row r="24" spans="2:11">
      <c r="G24" s="1"/>
      <c r="H24" s="1"/>
      <c r="I24" s="185"/>
    </row>
    <row r="25" spans="2:11">
      <c r="B25" s="332" t="s">
        <v>167</v>
      </c>
      <c r="C25" s="209" t="s">
        <v>214</v>
      </c>
      <c r="D25" s="247"/>
      <c r="E25" s="247"/>
      <c r="F25" s="247"/>
      <c r="G25" s="204"/>
      <c r="H25" s="204"/>
      <c r="I25" s="204"/>
    </row>
    <row r="26" spans="2:11" ht="15" customHeight="1">
      <c r="B26" s="332"/>
      <c r="C26" s="187" t="s">
        <v>161</v>
      </c>
      <c r="D26" s="194">
        <f>$H$4*D25</f>
        <v>0</v>
      </c>
      <c r="E26" s="194">
        <f t="shared" ref="E26:F26" si="1">$H$4*E25</f>
        <v>0</v>
      </c>
      <c r="F26" s="194">
        <f t="shared" si="1"/>
        <v>0</v>
      </c>
      <c r="G26" s="195">
        <f>SUM(D26:F26)</f>
        <v>0</v>
      </c>
      <c r="H26" s="199" t="str">
        <f>H22</f>
        <v/>
      </c>
      <c r="I26" s="202" t="str">
        <f>IFERROR(G26/H26,"")</f>
        <v/>
      </c>
    </row>
    <row r="27" spans="2:11">
      <c r="B27" s="332"/>
      <c r="C27" s="187" t="s">
        <v>162</v>
      </c>
      <c r="D27" s="194">
        <f>D26+D22</f>
        <v>0</v>
      </c>
      <c r="E27" s="197">
        <f>E22+E26</f>
        <v>0</v>
      </c>
      <c r="F27" s="197">
        <f>F26+F22</f>
        <v>0</v>
      </c>
      <c r="G27" s="195">
        <f>SUM(D27:F27)</f>
        <v>0</v>
      </c>
      <c r="H27" s="199" t="str">
        <f>H26</f>
        <v/>
      </c>
      <c r="I27" s="203" t="str">
        <f>IFERROR(G27/H27,"")</f>
        <v/>
      </c>
    </row>
    <row r="28" spans="2:11">
      <c r="B28" s="332"/>
      <c r="C28" s="187" t="s">
        <v>163</v>
      </c>
      <c r="D28" s="246"/>
      <c r="E28" s="246"/>
      <c r="F28" s="246"/>
      <c r="G28" s="200" t="str">
        <f>IFERROR((G31-G27)/G27,"")</f>
        <v/>
      </c>
      <c r="H28" s="205"/>
      <c r="I28" s="207"/>
    </row>
    <row r="29" spans="2:11">
      <c r="B29" s="332"/>
      <c r="C29" s="215" t="s">
        <v>181</v>
      </c>
      <c r="D29" s="216" t="str">
        <f>IF(D28&gt;0,D27*D28,"")</f>
        <v/>
      </c>
      <c r="E29" s="216" t="str">
        <f>IF(E28&gt;0,E27*E28,"")</f>
        <v/>
      </c>
      <c r="F29" s="216" t="str">
        <f>IF(F28&gt;0,F27*F28,"")</f>
        <v/>
      </c>
      <c r="G29" s="220">
        <f>SUM(D29:F29)</f>
        <v>0</v>
      </c>
      <c r="H29" s="205"/>
      <c r="I29" s="207"/>
    </row>
    <row r="30" spans="2:11">
      <c r="B30" s="332"/>
      <c r="C30" s="217" t="s">
        <v>182</v>
      </c>
      <c r="D30" s="218" t="str">
        <f>IF(D28&lt;0,D27*D28,"")</f>
        <v/>
      </c>
      <c r="E30" s="218" t="str">
        <f>IF(E28&lt;0,E27*E28,"")</f>
        <v/>
      </c>
      <c r="F30" s="218" t="str">
        <f>IF(F28&lt;0,F27*F28,"")</f>
        <v/>
      </c>
      <c r="G30" s="219">
        <f>SUM(D30:F30)</f>
        <v>0</v>
      </c>
      <c r="H30" s="205"/>
      <c r="I30" s="207"/>
    </row>
    <row r="31" spans="2:11">
      <c r="B31" s="333"/>
      <c r="C31" s="187" t="s">
        <v>164</v>
      </c>
      <c r="D31" s="194">
        <f>D27*(1+D28)</f>
        <v>0</v>
      </c>
      <c r="E31" s="194">
        <f>E27*(1+E28)</f>
        <v>0</v>
      </c>
      <c r="F31" s="194">
        <f>F27*(1+F28)</f>
        <v>0</v>
      </c>
      <c r="G31" s="195">
        <f>SUM(D31:F31)</f>
        <v>0</v>
      </c>
      <c r="H31" s="199" t="str">
        <f>IFERROR(G31/I31,"")</f>
        <v/>
      </c>
      <c r="I31" s="202" t="str">
        <f>I27</f>
        <v/>
      </c>
      <c r="K31" s="181"/>
    </row>
    <row r="32" spans="2:11">
      <c r="B32" s="180" t="s">
        <v>165</v>
      </c>
      <c r="C32" s="188"/>
      <c r="D32" s="189"/>
      <c r="E32" s="190"/>
      <c r="F32" s="188"/>
      <c r="G32" s="191" t="str">
        <f>IFERROR((H31/H9)-1,"")</f>
        <v/>
      </c>
      <c r="H32" s="192"/>
      <c r="I32" s="201"/>
    </row>
    <row r="33" spans="2:9">
      <c r="G33" s="1"/>
      <c r="H33" s="1"/>
      <c r="I33" s="185"/>
    </row>
    <row r="34" spans="2:9">
      <c r="B34" s="332" t="s">
        <v>168</v>
      </c>
      <c r="C34" s="209" t="s">
        <v>214</v>
      </c>
      <c r="D34" s="247"/>
      <c r="E34" s="247"/>
      <c r="F34" s="247"/>
      <c r="G34" s="204"/>
      <c r="H34" s="204"/>
      <c r="I34" s="204"/>
    </row>
    <row r="35" spans="2:9" ht="15" customHeight="1">
      <c r="B35" s="332"/>
      <c r="C35" s="187" t="s">
        <v>161</v>
      </c>
      <c r="D35" s="194">
        <f>$J$2*D34</f>
        <v>0</v>
      </c>
      <c r="E35" s="194">
        <f t="shared" ref="E35:F35" si="2">$J$2*E34</f>
        <v>0</v>
      </c>
      <c r="F35" s="194">
        <f t="shared" si="2"/>
        <v>0</v>
      </c>
      <c r="G35" s="195">
        <f>SUM(D35:F35)</f>
        <v>0</v>
      </c>
      <c r="H35" s="199" t="str">
        <f>H31</f>
        <v/>
      </c>
      <c r="I35" s="202" t="str">
        <f>IFERROR(G35/H35,"")</f>
        <v/>
      </c>
    </row>
    <row r="36" spans="2:9">
      <c r="B36" s="332"/>
      <c r="C36" s="187" t="s">
        <v>162</v>
      </c>
      <c r="D36" s="194">
        <f>D35+D31</f>
        <v>0</v>
      </c>
      <c r="E36" s="197">
        <f>E31+E35</f>
        <v>0</v>
      </c>
      <c r="F36" s="197">
        <f>F35+F31</f>
        <v>0</v>
      </c>
      <c r="G36" s="195">
        <f>SUM(D36:F36)</f>
        <v>0</v>
      </c>
      <c r="H36" s="199" t="str">
        <f>H35</f>
        <v/>
      </c>
      <c r="I36" s="203" t="str">
        <f>IFERROR(G36/H36,"")</f>
        <v/>
      </c>
    </row>
    <row r="37" spans="2:9">
      <c r="B37" s="332"/>
      <c r="C37" s="187" t="s">
        <v>163</v>
      </c>
      <c r="D37" s="246"/>
      <c r="E37" s="246"/>
      <c r="F37" s="246"/>
      <c r="G37" s="200" t="str">
        <f>IFERROR((G40-G36)/G36,"")</f>
        <v/>
      </c>
      <c r="H37" s="205"/>
      <c r="I37" s="207"/>
    </row>
    <row r="38" spans="2:9">
      <c r="B38" s="332"/>
      <c r="C38" s="215" t="s">
        <v>181</v>
      </c>
      <c r="D38" s="216" t="str">
        <f>IF(D37&gt;0,D36*D37,"")</f>
        <v/>
      </c>
      <c r="E38" s="216" t="str">
        <f>IF(E37&gt;0,E36*E37,"")</f>
        <v/>
      </c>
      <c r="F38" s="216" t="str">
        <f>IF(F37&gt;0,F36*F37,"")</f>
        <v/>
      </c>
      <c r="G38" s="220">
        <f>SUM(D38:F38)</f>
        <v>0</v>
      </c>
      <c r="H38" s="205"/>
      <c r="I38" s="207"/>
    </row>
    <row r="39" spans="2:9">
      <c r="B39" s="332"/>
      <c r="C39" s="217" t="s">
        <v>182</v>
      </c>
      <c r="D39" s="218" t="str">
        <f>IF(D37&lt;0,D36*D37,"")</f>
        <v/>
      </c>
      <c r="E39" s="218" t="str">
        <f>IF(E37&lt;0,E36*E37,"")</f>
        <v/>
      </c>
      <c r="F39" s="218" t="str">
        <f>IF(F37&lt;0,F36*F37,"")</f>
        <v/>
      </c>
      <c r="G39" s="219">
        <f>SUM(D39:F39)</f>
        <v>0</v>
      </c>
      <c r="H39" s="205"/>
      <c r="I39" s="207"/>
    </row>
    <row r="40" spans="2:9">
      <c r="B40" s="333"/>
      <c r="C40" s="187" t="s">
        <v>164</v>
      </c>
      <c r="D40" s="194">
        <f>D36*(1+D37)</f>
        <v>0</v>
      </c>
      <c r="E40" s="194">
        <f>E36*(1+E37)</f>
        <v>0</v>
      </c>
      <c r="F40" s="194">
        <f>F36*(1+F37)</f>
        <v>0</v>
      </c>
      <c r="G40" s="195">
        <f>SUM(D40:F40)</f>
        <v>0</v>
      </c>
      <c r="H40" s="199" t="str">
        <f>IFERROR(G40/I40,"")</f>
        <v/>
      </c>
      <c r="I40" s="202" t="str">
        <f>I36</f>
        <v/>
      </c>
    </row>
    <row r="41" spans="2:9">
      <c r="B41" s="180" t="s">
        <v>165</v>
      </c>
      <c r="C41" s="188"/>
      <c r="D41" s="189"/>
      <c r="E41" s="190"/>
      <c r="F41" s="188"/>
      <c r="G41" s="191" t="str">
        <f>IFERROR((H40/H9)-1,"")</f>
        <v/>
      </c>
      <c r="H41" s="192"/>
      <c r="I41" s="201"/>
    </row>
    <row r="42" spans="2:9">
      <c r="G42" s="1"/>
      <c r="H42" s="1"/>
      <c r="I42" s="185"/>
    </row>
    <row r="43" spans="2:9">
      <c r="B43" s="332" t="s">
        <v>169</v>
      </c>
      <c r="C43" s="209" t="s">
        <v>214</v>
      </c>
      <c r="D43" s="247"/>
      <c r="E43" s="247"/>
      <c r="F43" s="247"/>
      <c r="G43" s="204"/>
      <c r="H43" s="204"/>
      <c r="I43" s="204"/>
    </row>
    <row r="44" spans="2:9" ht="15" customHeight="1">
      <c r="B44" s="332"/>
      <c r="C44" s="187" t="s">
        <v>161</v>
      </c>
      <c r="D44" s="194">
        <f>$J$3*D43</f>
        <v>0</v>
      </c>
      <c r="E44" s="194">
        <f t="shared" ref="E44:F44" si="3">$J$3*E43</f>
        <v>0</v>
      </c>
      <c r="F44" s="194">
        <f t="shared" si="3"/>
        <v>0</v>
      </c>
      <c r="G44" s="195">
        <f>SUM(D44:F44)</f>
        <v>0</v>
      </c>
      <c r="H44" s="199" t="str">
        <f>H40</f>
        <v/>
      </c>
      <c r="I44" s="202" t="str">
        <f>IFERROR(G44/H44,"")</f>
        <v/>
      </c>
    </row>
    <row r="45" spans="2:9">
      <c r="B45" s="332"/>
      <c r="C45" s="187" t="s">
        <v>162</v>
      </c>
      <c r="D45" s="194">
        <f>D44+D40</f>
        <v>0</v>
      </c>
      <c r="E45" s="197">
        <f>E40+E44</f>
        <v>0</v>
      </c>
      <c r="F45" s="197">
        <f>F44+F40</f>
        <v>0</v>
      </c>
      <c r="G45" s="195">
        <f>SUM(D45:F45)</f>
        <v>0</v>
      </c>
      <c r="H45" s="199" t="str">
        <f>H44</f>
        <v/>
      </c>
      <c r="I45" s="203" t="str">
        <f>IFERROR(G45/H45,"")</f>
        <v/>
      </c>
    </row>
    <row r="46" spans="2:9">
      <c r="B46" s="332"/>
      <c r="C46" s="187" t="s">
        <v>163</v>
      </c>
      <c r="D46" s="246"/>
      <c r="E46" s="246"/>
      <c r="F46" s="246"/>
      <c r="G46" s="200" t="str">
        <f>IFERROR((G49-G45)/G45,"")</f>
        <v/>
      </c>
      <c r="H46" s="205"/>
      <c r="I46" s="207"/>
    </row>
    <row r="47" spans="2:9">
      <c r="B47" s="332"/>
      <c r="C47" s="215" t="s">
        <v>181</v>
      </c>
      <c r="D47" s="216" t="str">
        <f>IF(D46&gt;0,D45*D46,"")</f>
        <v/>
      </c>
      <c r="E47" s="216" t="str">
        <f>IF(E46&gt;0,E45*E46,"")</f>
        <v/>
      </c>
      <c r="F47" s="216" t="str">
        <f>IF(F46&gt;0,F45*F46,"")</f>
        <v/>
      </c>
      <c r="G47" s="220">
        <f>SUM(D47:F47)</f>
        <v>0</v>
      </c>
      <c r="H47" s="205"/>
      <c r="I47" s="207"/>
    </row>
    <row r="48" spans="2:9">
      <c r="B48" s="332"/>
      <c r="C48" s="217" t="s">
        <v>182</v>
      </c>
      <c r="D48" s="218" t="str">
        <f>IF(D46&lt;0,D45*D46,"")</f>
        <v/>
      </c>
      <c r="E48" s="218" t="str">
        <f>IF(E46&lt;0,E45*E46,"")</f>
        <v/>
      </c>
      <c r="F48" s="218" t="str">
        <f>IF(F46&lt;0,F45*F46,"")</f>
        <v/>
      </c>
      <c r="G48" s="219">
        <f>SUM(D48:F48)</f>
        <v>0</v>
      </c>
      <c r="H48" s="205"/>
      <c r="I48" s="207"/>
    </row>
    <row r="49" spans="2:9">
      <c r="B49" s="333"/>
      <c r="C49" s="187" t="s">
        <v>164</v>
      </c>
      <c r="D49" s="194">
        <f>D45*(1+D46)</f>
        <v>0</v>
      </c>
      <c r="E49" s="194">
        <f>E45*(1+E46)</f>
        <v>0</v>
      </c>
      <c r="F49" s="194">
        <f>F45*(1+F46)</f>
        <v>0</v>
      </c>
      <c r="G49" s="195">
        <f>SUM(D49:F49)</f>
        <v>0</v>
      </c>
      <c r="H49" s="199" t="str">
        <f>IFERROR(G49/I49,"")</f>
        <v/>
      </c>
      <c r="I49" s="202" t="str">
        <f>I45</f>
        <v/>
      </c>
    </row>
    <row r="50" spans="2:9">
      <c r="B50" s="180" t="s">
        <v>165</v>
      </c>
      <c r="C50" s="188"/>
      <c r="D50" s="189"/>
      <c r="E50" s="190"/>
      <c r="F50" s="188"/>
      <c r="G50" s="191" t="str">
        <f>IFERROR((H49/H9)-1,"")</f>
        <v/>
      </c>
      <c r="H50" s="192"/>
      <c r="I50" s="201"/>
    </row>
    <row r="51" spans="2:9">
      <c r="G51" s="1"/>
      <c r="H51" s="1"/>
      <c r="I51" s="185"/>
    </row>
    <row r="52" spans="2:9">
      <c r="B52" s="332" t="s">
        <v>170</v>
      </c>
      <c r="C52" s="209" t="s">
        <v>214</v>
      </c>
      <c r="D52" s="247"/>
      <c r="E52" s="247"/>
      <c r="F52" s="247"/>
      <c r="G52" s="204"/>
      <c r="H52" s="204"/>
      <c r="I52" s="204"/>
    </row>
    <row r="53" spans="2:9" ht="15" customHeight="1">
      <c r="B53" s="332"/>
      <c r="C53" s="187" t="s">
        <v>161</v>
      </c>
      <c r="D53" s="194">
        <f>$J$4*D52</f>
        <v>0</v>
      </c>
      <c r="E53" s="194">
        <f t="shared" ref="E53:F53" si="4">$J$4*E52</f>
        <v>0</v>
      </c>
      <c r="F53" s="194">
        <f t="shared" si="4"/>
        <v>0</v>
      </c>
      <c r="G53" s="195">
        <f>SUM(D53:F53)</f>
        <v>0</v>
      </c>
      <c r="H53" s="199" t="str">
        <f>IFERROR(H49,"")</f>
        <v/>
      </c>
      <c r="I53" s="202" t="str">
        <f>IFERROR(G53/H53,"")</f>
        <v/>
      </c>
    </row>
    <row r="54" spans="2:9">
      <c r="B54" s="332"/>
      <c r="C54" s="187" t="s">
        <v>162</v>
      </c>
      <c r="D54" s="194">
        <f>D53+D49</f>
        <v>0</v>
      </c>
      <c r="E54" s="197">
        <f>E49+E53</f>
        <v>0</v>
      </c>
      <c r="F54" s="197">
        <f>F53+F49</f>
        <v>0</v>
      </c>
      <c r="G54" s="195">
        <f>SUM(D54:F54)</f>
        <v>0</v>
      </c>
      <c r="H54" s="199" t="str">
        <f>H53</f>
        <v/>
      </c>
      <c r="I54" s="203" t="str">
        <f>IFERROR(G54/H54,"")</f>
        <v/>
      </c>
    </row>
    <row r="55" spans="2:9">
      <c r="B55" s="332"/>
      <c r="C55" s="187" t="s">
        <v>163</v>
      </c>
      <c r="D55" s="246"/>
      <c r="E55" s="246"/>
      <c r="F55" s="246"/>
      <c r="G55" s="200" t="str">
        <f>IFERROR((G58-G54)/G54,"")</f>
        <v/>
      </c>
      <c r="H55" s="205"/>
      <c r="I55" s="207"/>
    </row>
    <row r="56" spans="2:9">
      <c r="B56" s="332"/>
      <c r="C56" s="215" t="s">
        <v>181</v>
      </c>
      <c r="D56" s="216" t="str">
        <f>IF(D55&gt;0,D54*D55,"")</f>
        <v/>
      </c>
      <c r="E56" s="216" t="str">
        <f>IF(E55&gt;0,E54*E55,"")</f>
        <v/>
      </c>
      <c r="F56" s="216" t="str">
        <f>IF(F55&gt;0,F54*F55,"")</f>
        <v/>
      </c>
      <c r="G56" s="220">
        <f>SUM(D56:F56)</f>
        <v>0</v>
      </c>
      <c r="H56" s="205"/>
      <c r="I56" s="207"/>
    </row>
    <row r="57" spans="2:9">
      <c r="B57" s="332"/>
      <c r="C57" s="217" t="s">
        <v>182</v>
      </c>
      <c r="D57" s="218" t="str">
        <f>IF(D55&lt;0,D54*D55,"")</f>
        <v/>
      </c>
      <c r="E57" s="218" t="str">
        <f>IF(E55&lt;0,E54*E55,"")</f>
        <v/>
      </c>
      <c r="F57" s="218" t="str">
        <f>IF(F55&lt;0,F54*F55,"")</f>
        <v/>
      </c>
      <c r="G57" s="219">
        <f>SUM(D57:F57)</f>
        <v>0</v>
      </c>
      <c r="H57" s="205"/>
      <c r="I57" s="207"/>
    </row>
    <row r="58" spans="2:9">
      <c r="B58" s="333"/>
      <c r="C58" s="187" t="s">
        <v>164</v>
      </c>
      <c r="D58" s="194">
        <f>D54*(1+D55)</f>
        <v>0</v>
      </c>
      <c r="E58" s="194">
        <f>E54*(1+E55)</f>
        <v>0</v>
      </c>
      <c r="F58" s="194">
        <f>F54*(1+F55)</f>
        <v>0</v>
      </c>
      <c r="G58" s="195">
        <f>SUM(D58:F58)</f>
        <v>0</v>
      </c>
      <c r="H58" s="199" t="str">
        <f>IFERROR(G58/I58,"")</f>
        <v/>
      </c>
      <c r="I58" s="202" t="str">
        <f>I54</f>
        <v/>
      </c>
    </row>
    <row r="59" spans="2:9">
      <c r="B59" s="180" t="s">
        <v>165</v>
      </c>
      <c r="C59" s="188"/>
      <c r="D59" s="189"/>
      <c r="E59" s="190"/>
      <c r="F59" s="188"/>
      <c r="G59" s="191" t="str">
        <f>IFERROR((H58/H9)-1,"")</f>
        <v/>
      </c>
      <c r="H59" s="192"/>
      <c r="I59" s="201"/>
    </row>
    <row r="60" spans="2:9">
      <c r="G60" s="1"/>
      <c r="H60" s="186"/>
      <c r="I60" s="185"/>
    </row>
    <row r="61" spans="2:9">
      <c r="B61" s="332" t="s">
        <v>171</v>
      </c>
      <c r="C61" s="209" t="s">
        <v>214</v>
      </c>
      <c r="D61" s="247"/>
      <c r="E61" s="247"/>
      <c r="F61" s="247"/>
      <c r="G61" s="204"/>
      <c r="H61" s="204"/>
      <c r="I61" s="204"/>
    </row>
    <row r="62" spans="2:9" ht="15" customHeight="1">
      <c r="B62" s="332"/>
      <c r="C62" s="187" t="s">
        <v>161</v>
      </c>
      <c r="D62" s="194">
        <f>$L$2*D61</f>
        <v>0</v>
      </c>
      <c r="E62" s="194">
        <f t="shared" ref="E62:F62" si="5">$L$2*E61</f>
        <v>0</v>
      </c>
      <c r="F62" s="194">
        <f t="shared" si="5"/>
        <v>0</v>
      </c>
      <c r="G62" s="195">
        <f>SUM(D62:F62)</f>
        <v>0</v>
      </c>
      <c r="H62" s="199" t="str">
        <f>IFERROR(H58,"")</f>
        <v/>
      </c>
      <c r="I62" s="202" t="str">
        <f>IFERROR(G62/H62,"")</f>
        <v/>
      </c>
    </row>
    <row r="63" spans="2:9">
      <c r="B63" s="332"/>
      <c r="C63" s="187" t="s">
        <v>162</v>
      </c>
      <c r="D63" s="194">
        <f>D62+D58</f>
        <v>0</v>
      </c>
      <c r="E63" s="197">
        <f>E58+E62</f>
        <v>0</v>
      </c>
      <c r="F63" s="197">
        <f>F62+F58</f>
        <v>0</v>
      </c>
      <c r="G63" s="195">
        <f>SUM(D63:F63)</f>
        <v>0</v>
      </c>
      <c r="H63" s="199" t="str">
        <f>H62</f>
        <v/>
      </c>
      <c r="I63" s="203" t="str">
        <f>IFERROR(G63/H63,"")</f>
        <v/>
      </c>
    </row>
    <row r="64" spans="2:9">
      <c r="B64" s="332"/>
      <c r="C64" s="187" t="s">
        <v>163</v>
      </c>
      <c r="D64" s="246"/>
      <c r="E64" s="246"/>
      <c r="F64" s="246"/>
      <c r="G64" s="200" t="str">
        <f>IFERROR((G67-G63)/G63,"")</f>
        <v/>
      </c>
      <c r="H64" s="205"/>
      <c r="I64" s="207"/>
    </row>
    <row r="65" spans="2:9">
      <c r="B65" s="332"/>
      <c r="C65" s="215" t="s">
        <v>181</v>
      </c>
      <c r="D65" s="216" t="str">
        <f>IF(D64&gt;0,D63*D64,"")</f>
        <v/>
      </c>
      <c r="E65" s="216" t="str">
        <f>IF(E64&gt;0,E63*E64,"")</f>
        <v/>
      </c>
      <c r="F65" s="216" t="str">
        <f>IF(F64&gt;0,F63*F64,"")</f>
        <v/>
      </c>
      <c r="G65" s="220">
        <f>SUM(D65:F65)</f>
        <v>0</v>
      </c>
      <c r="H65" s="205"/>
      <c r="I65" s="207"/>
    </row>
    <row r="66" spans="2:9">
      <c r="B66" s="332"/>
      <c r="C66" s="217" t="s">
        <v>182</v>
      </c>
      <c r="D66" s="218" t="str">
        <f>IF(D64&lt;0,D63*D64,"")</f>
        <v/>
      </c>
      <c r="E66" s="218" t="str">
        <f>IF(E64&lt;0,E63*E64,"")</f>
        <v/>
      </c>
      <c r="F66" s="218" t="str">
        <f>IF(F64&lt;0,F63*F64,"")</f>
        <v/>
      </c>
      <c r="G66" s="219">
        <f>SUM(D66:F66)</f>
        <v>0</v>
      </c>
      <c r="H66" s="205"/>
      <c r="I66" s="207"/>
    </row>
    <row r="67" spans="2:9">
      <c r="B67" s="333"/>
      <c r="C67" s="187" t="s">
        <v>164</v>
      </c>
      <c r="D67" s="194">
        <f>D63*(1+D64)</f>
        <v>0</v>
      </c>
      <c r="E67" s="194">
        <f>E63*(1+E64)</f>
        <v>0</v>
      </c>
      <c r="F67" s="194">
        <f>F63*(1+F64)</f>
        <v>0</v>
      </c>
      <c r="G67" s="195">
        <f>SUM(D67:F67)</f>
        <v>0</v>
      </c>
      <c r="H67" s="199" t="str">
        <f>IFERROR(G67/I67,"")</f>
        <v/>
      </c>
      <c r="I67" s="202" t="str">
        <f>I63</f>
        <v/>
      </c>
    </row>
    <row r="68" spans="2:9">
      <c r="B68" s="180" t="s">
        <v>165</v>
      </c>
      <c r="C68" s="188"/>
      <c r="D68" s="189"/>
      <c r="E68" s="190"/>
      <c r="F68" s="188"/>
      <c r="G68" s="191" t="str">
        <f>IFERROR((H67/H9)-1,"")</f>
        <v/>
      </c>
      <c r="H68" s="192"/>
      <c r="I68" s="201"/>
    </row>
    <row r="69" spans="2:9">
      <c r="G69" s="1"/>
      <c r="H69" s="1"/>
      <c r="I69" s="185"/>
    </row>
    <row r="70" spans="2:9">
      <c r="B70" s="332" t="s">
        <v>172</v>
      </c>
      <c r="C70" s="209" t="s">
        <v>214</v>
      </c>
      <c r="D70" s="247"/>
      <c r="E70" s="247"/>
      <c r="F70" s="247"/>
      <c r="G70" s="204"/>
      <c r="H70" s="204"/>
      <c r="I70" s="204"/>
    </row>
    <row r="71" spans="2:9" ht="15" customHeight="1">
      <c r="B71" s="332"/>
      <c r="C71" s="187" t="s">
        <v>161</v>
      </c>
      <c r="D71" s="194">
        <f>$L$3*D70</f>
        <v>0</v>
      </c>
      <c r="E71" s="194">
        <f t="shared" ref="E71:F71" si="6">$L$3*E70</f>
        <v>0</v>
      </c>
      <c r="F71" s="194">
        <f t="shared" si="6"/>
        <v>0</v>
      </c>
      <c r="G71" s="195">
        <f>SUM(D71:F71)</f>
        <v>0</v>
      </c>
      <c r="H71" s="199" t="str">
        <f>IFERROR(H67,"")</f>
        <v/>
      </c>
      <c r="I71" s="202" t="str">
        <f>IFERROR(G71/H71,"")</f>
        <v/>
      </c>
    </row>
    <row r="72" spans="2:9">
      <c r="B72" s="332"/>
      <c r="C72" s="187" t="s">
        <v>162</v>
      </c>
      <c r="D72" s="194">
        <f>D71+D67</f>
        <v>0</v>
      </c>
      <c r="E72" s="197">
        <f>E67+E71</f>
        <v>0</v>
      </c>
      <c r="F72" s="197">
        <f>F71+F67</f>
        <v>0</v>
      </c>
      <c r="G72" s="195">
        <f>SUM(D72:F72)</f>
        <v>0</v>
      </c>
      <c r="H72" s="199" t="str">
        <f>H71</f>
        <v/>
      </c>
      <c r="I72" s="203" t="str">
        <f>IFERROR(G72/H72,"")</f>
        <v/>
      </c>
    </row>
    <row r="73" spans="2:9">
      <c r="B73" s="332"/>
      <c r="C73" s="187" t="s">
        <v>163</v>
      </c>
      <c r="D73" s="246"/>
      <c r="E73" s="246"/>
      <c r="F73" s="246"/>
      <c r="G73" s="200" t="str">
        <f>IFERROR((G76-G72)/G72,"")</f>
        <v/>
      </c>
      <c r="H73" s="205"/>
      <c r="I73" s="207"/>
    </row>
    <row r="74" spans="2:9">
      <c r="B74" s="332"/>
      <c r="C74" s="215" t="s">
        <v>181</v>
      </c>
      <c r="D74" s="216" t="str">
        <f>IF(D73&gt;0,D72*D73,"")</f>
        <v/>
      </c>
      <c r="E74" s="216" t="str">
        <f>IF(E73&gt;0,E72*E73,"")</f>
        <v/>
      </c>
      <c r="F74" s="216" t="str">
        <f>IF(F73&gt;0,F72*F73,"")</f>
        <v/>
      </c>
      <c r="G74" s="220">
        <f>SUM(D74:F74)</f>
        <v>0</v>
      </c>
      <c r="H74" s="205"/>
      <c r="I74" s="207"/>
    </row>
    <row r="75" spans="2:9">
      <c r="B75" s="332"/>
      <c r="C75" s="217" t="s">
        <v>182</v>
      </c>
      <c r="D75" s="218" t="str">
        <f>IF(D73&lt;0,D72*D73,"")</f>
        <v/>
      </c>
      <c r="E75" s="218" t="str">
        <f>IF(E73&lt;0,E72*E73,"")</f>
        <v/>
      </c>
      <c r="F75" s="218" t="str">
        <f>IF(F73&lt;0,F72*F73,"")</f>
        <v/>
      </c>
      <c r="G75" s="219">
        <f>SUM(D75:F75)</f>
        <v>0</v>
      </c>
      <c r="H75" s="205"/>
      <c r="I75" s="207"/>
    </row>
    <row r="76" spans="2:9">
      <c r="B76" s="333"/>
      <c r="C76" s="187" t="s">
        <v>164</v>
      </c>
      <c r="D76" s="194">
        <f>D72*(1+D73)</f>
        <v>0</v>
      </c>
      <c r="E76" s="194">
        <f>E72*(1+E73)</f>
        <v>0</v>
      </c>
      <c r="F76" s="194">
        <f>F72*(1+F73)</f>
        <v>0</v>
      </c>
      <c r="G76" s="195">
        <f>SUM(D76:F76)</f>
        <v>0</v>
      </c>
      <c r="H76" s="199" t="str">
        <f>IFERROR(G76/I76,"")</f>
        <v/>
      </c>
      <c r="I76" s="202" t="str">
        <f>I72</f>
        <v/>
      </c>
    </row>
    <row r="77" spans="2:9">
      <c r="B77" s="180" t="s">
        <v>165</v>
      </c>
      <c r="C77" s="188"/>
      <c r="D77" s="189"/>
      <c r="E77" s="190"/>
      <c r="F77" s="188"/>
      <c r="G77" s="191" t="str">
        <f>IFERROR((H76/H9)-1,"")</f>
        <v/>
      </c>
      <c r="H77" s="192"/>
      <c r="I77" s="201"/>
    </row>
    <row r="78" spans="2:9">
      <c r="G78" s="1"/>
      <c r="H78" s="1"/>
      <c r="I78" s="185"/>
    </row>
    <row r="79" spans="2:9">
      <c r="B79" s="332" t="s">
        <v>173</v>
      </c>
      <c r="C79" s="209" t="s">
        <v>214</v>
      </c>
      <c r="D79" s="247"/>
      <c r="E79" s="247"/>
      <c r="F79" s="247"/>
      <c r="G79" s="204"/>
      <c r="H79" s="204"/>
      <c r="I79" s="204"/>
    </row>
    <row r="80" spans="2:9" ht="15" customHeight="1">
      <c r="B80" s="332"/>
      <c r="C80" s="187" t="s">
        <v>161</v>
      </c>
      <c r="D80" s="194">
        <f>$L$4*D79</f>
        <v>0</v>
      </c>
      <c r="E80" s="194">
        <f t="shared" ref="E80:F80" si="7">$L$4*E79</f>
        <v>0</v>
      </c>
      <c r="F80" s="194">
        <f t="shared" si="7"/>
        <v>0</v>
      </c>
      <c r="G80" s="195">
        <f>SUM(D80:F80)</f>
        <v>0</v>
      </c>
      <c r="H80" s="199" t="str">
        <f>IFERROR(H76,"")</f>
        <v/>
      </c>
      <c r="I80" s="202" t="str">
        <f>IFERROR(G80/H80,"")</f>
        <v/>
      </c>
    </row>
    <row r="81" spans="2:9">
      <c r="B81" s="332"/>
      <c r="C81" s="187" t="s">
        <v>162</v>
      </c>
      <c r="D81" s="194">
        <f>D80+D76</f>
        <v>0</v>
      </c>
      <c r="E81" s="197">
        <f>E76+E80</f>
        <v>0</v>
      </c>
      <c r="F81" s="197">
        <f>F80+F76</f>
        <v>0</v>
      </c>
      <c r="G81" s="195">
        <f>SUM(D81:F81)</f>
        <v>0</v>
      </c>
      <c r="H81" s="199" t="str">
        <f>IFERROR(H80,"")</f>
        <v/>
      </c>
      <c r="I81" s="203" t="str">
        <f>IFERROR(G81/H81,"")</f>
        <v/>
      </c>
    </row>
    <row r="82" spans="2:9">
      <c r="B82" s="332"/>
      <c r="C82" s="187" t="s">
        <v>163</v>
      </c>
      <c r="D82" s="246"/>
      <c r="E82" s="246"/>
      <c r="F82" s="246"/>
      <c r="G82" s="200" t="str">
        <f>IFERROR((G85-G81)/G81,"")</f>
        <v/>
      </c>
      <c r="H82" s="205"/>
      <c r="I82" s="207"/>
    </row>
    <row r="83" spans="2:9">
      <c r="B83" s="332"/>
      <c r="C83" s="215" t="s">
        <v>181</v>
      </c>
      <c r="D83" s="216" t="str">
        <f>IF(D82&gt;0,D81*D82,"")</f>
        <v/>
      </c>
      <c r="E83" s="216" t="str">
        <f>IF(E82&gt;0,E81*E82,"")</f>
        <v/>
      </c>
      <c r="F83" s="216" t="str">
        <f>IF(F82&gt;0,F81*F82,"")</f>
        <v/>
      </c>
      <c r="G83" s="220">
        <f>SUM(D83:F83)</f>
        <v>0</v>
      </c>
      <c r="H83" s="205"/>
      <c r="I83" s="207"/>
    </row>
    <row r="84" spans="2:9">
      <c r="B84" s="332"/>
      <c r="C84" s="217" t="s">
        <v>182</v>
      </c>
      <c r="D84" s="218" t="str">
        <f>IF(D82&lt;0,D81*D82,"")</f>
        <v/>
      </c>
      <c r="E84" s="218" t="str">
        <f>IF(E82&lt;0,E81*E82,"")</f>
        <v/>
      </c>
      <c r="F84" s="218" t="str">
        <f>IF(F82&lt;0,F81*F82,"")</f>
        <v/>
      </c>
      <c r="G84" s="219">
        <f>SUM(D84:F84)</f>
        <v>0</v>
      </c>
      <c r="H84" s="205"/>
      <c r="I84" s="207"/>
    </row>
    <row r="85" spans="2:9">
      <c r="B85" s="333"/>
      <c r="C85" s="187" t="s">
        <v>164</v>
      </c>
      <c r="D85" s="194">
        <f>D81*(1+D82)</f>
        <v>0</v>
      </c>
      <c r="E85" s="194">
        <f>E81*(1+E82)</f>
        <v>0</v>
      </c>
      <c r="F85" s="194">
        <f>F81*(1+F82)</f>
        <v>0</v>
      </c>
      <c r="G85" s="195">
        <f>SUM(D85:F85)</f>
        <v>0</v>
      </c>
      <c r="H85" s="199" t="str">
        <f>IFERROR(G85/I85,"")</f>
        <v/>
      </c>
      <c r="I85" s="202" t="str">
        <f>I81</f>
        <v/>
      </c>
    </row>
    <row r="86" spans="2:9">
      <c r="B86" s="180" t="s">
        <v>165</v>
      </c>
      <c r="C86" s="188"/>
      <c r="D86" s="189"/>
      <c r="E86" s="190"/>
      <c r="F86" s="188"/>
      <c r="G86" s="191" t="str">
        <f>IFERROR((H85/H9)-1,"")</f>
        <v/>
      </c>
      <c r="H86" s="192"/>
      <c r="I86" s="201"/>
    </row>
    <row r="87" spans="2:9">
      <c r="G87" s="1"/>
      <c r="H87" s="1"/>
      <c r="I87" s="185"/>
    </row>
    <row r="88" spans="2:9">
      <c r="B88" s="332" t="s">
        <v>174</v>
      </c>
      <c r="C88" s="209" t="s">
        <v>214</v>
      </c>
      <c r="D88" s="247"/>
      <c r="E88" s="247"/>
      <c r="F88" s="247"/>
      <c r="G88" s="204"/>
      <c r="H88" s="204"/>
      <c r="I88" s="204"/>
    </row>
    <row r="89" spans="2:9" ht="15" customHeight="1">
      <c r="B89" s="332"/>
      <c r="C89" s="187" t="s">
        <v>161</v>
      </c>
      <c r="D89" s="194">
        <f>$N$2*D88</f>
        <v>0</v>
      </c>
      <c r="E89" s="194">
        <f t="shared" ref="E89:F89" si="8">$N$2*E88</f>
        <v>0</v>
      </c>
      <c r="F89" s="194">
        <f t="shared" si="8"/>
        <v>0</v>
      </c>
      <c r="G89" s="195">
        <f>SUM(D89:F89)</f>
        <v>0</v>
      </c>
      <c r="H89" s="199" t="str">
        <f>IFERROR(H85,"")</f>
        <v/>
      </c>
      <c r="I89" s="202" t="str">
        <f>IFERROR(G89/H89,"")</f>
        <v/>
      </c>
    </row>
    <row r="90" spans="2:9">
      <c r="B90" s="332"/>
      <c r="C90" s="187" t="s">
        <v>162</v>
      </c>
      <c r="D90" s="194">
        <f>D89+D85</f>
        <v>0</v>
      </c>
      <c r="E90" s="197">
        <f>E85+E89</f>
        <v>0</v>
      </c>
      <c r="F90" s="197">
        <f>F89+F85</f>
        <v>0</v>
      </c>
      <c r="G90" s="195">
        <f>SUM(D90:F90)</f>
        <v>0</v>
      </c>
      <c r="H90" s="199" t="str">
        <f>IFERROR(H89,"")</f>
        <v/>
      </c>
      <c r="I90" s="203" t="str">
        <f>IFERROR(G90/H90,"")</f>
        <v/>
      </c>
    </row>
    <row r="91" spans="2:9">
      <c r="B91" s="332"/>
      <c r="C91" s="187" t="s">
        <v>163</v>
      </c>
      <c r="D91" s="246"/>
      <c r="E91" s="246"/>
      <c r="F91" s="246"/>
      <c r="G91" s="200" t="str">
        <f>IFERROR((G94-G90)/G90,"")</f>
        <v/>
      </c>
      <c r="H91" s="205"/>
      <c r="I91" s="207"/>
    </row>
    <row r="92" spans="2:9">
      <c r="B92" s="332"/>
      <c r="C92" s="215" t="s">
        <v>181</v>
      </c>
      <c r="D92" s="216" t="str">
        <f>IF(D91&gt;0,D90*D91,"")</f>
        <v/>
      </c>
      <c r="E92" s="216" t="str">
        <f>IF(E91&gt;0,E90*E91,"")</f>
        <v/>
      </c>
      <c r="F92" s="216" t="str">
        <f>IF(F91&gt;0,F90*F91,"")</f>
        <v/>
      </c>
      <c r="G92" s="220">
        <f>SUM(D92:F92)</f>
        <v>0</v>
      </c>
      <c r="H92" s="205"/>
      <c r="I92" s="207"/>
    </row>
    <row r="93" spans="2:9">
      <c r="B93" s="332"/>
      <c r="C93" s="217" t="s">
        <v>182</v>
      </c>
      <c r="D93" s="218" t="str">
        <f>IF(D91&lt;0,D90*D91,"")</f>
        <v/>
      </c>
      <c r="E93" s="218" t="str">
        <f>IF(E91&lt;0,E90*E91,"")</f>
        <v/>
      </c>
      <c r="F93" s="218" t="str">
        <f>IF(F91&lt;0,F90*F91,"")</f>
        <v/>
      </c>
      <c r="G93" s="219">
        <f>SUM(D93:F93)</f>
        <v>0</v>
      </c>
      <c r="H93" s="205"/>
      <c r="I93" s="207"/>
    </row>
    <row r="94" spans="2:9">
      <c r="B94" s="333"/>
      <c r="C94" s="187" t="s">
        <v>164</v>
      </c>
      <c r="D94" s="194">
        <f>D90*(1+D91)</f>
        <v>0</v>
      </c>
      <c r="E94" s="194">
        <f>E90*(1+E91)</f>
        <v>0</v>
      </c>
      <c r="F94" s="194">
        <f>F90*(1+F91)</f>
        <v>0</v>
      </c>
      <c r="G94" s="195">
        <f>SUM(D94:F94)</f>
        <v>0</v>
      </c>
      <c r="H94" s="199" t="str">
        <f>IFERROR(G94/I94,"")</f>
        <v/>
      </c>
      <c r="I94" s="202" t="str">
        <f>IFERROR(I90,"")</f>
        <v/>
      </c>
    </row>
    <row r="95" spans="2:9">
      <c r="B95" s="180" t="s">
        <v>165</v>
      </c>
      <c r="C95" s="188"/>
      <c r="D95" s="189"/>
      <c r="E95" s="190"/>
      <c r="F95" s="188"/>
      <c r="G95" s="191" t="str">
        <f>IFERROR((H94/H9)-1,"")</f>
        <v/>
      </c>
      <c r="H95" s="192"/>
      <c r="I95" s="201"/>
    </row>
    <row r="96" spans="2:9">
      <c r="G96" s="1"/>
      <c r="H96" s="1"/>
      <c r="I96" s="185"/>
    </row>
    <row r="97" spans="2:9">
      <c r="B97" s="332" t="s">
        <v>175</v>
      </c>
      <c r="C97" s="209" t="s">
        <v>214</v>
      </c>
      <c r="D97" s="247"/>
      <c r="E97" s="247"/>
      <c r="F97" s="247"/>
      <c r="G97" s="204"/>
      <c r="H97" s="204"/>
      <c r="I97" s="204"/>
    </row>
    <row r="98" spans="2:9" ht="15" customHeight="1">
      <c r="B98" s="332"/>
      <c r="C98" s="187" t="s">
        <v>161</v>
      </c>
      <c r="D98" s="194">
        <f>$N$3*D97</f>
        <v>0</v>
      </c>
      <c r="E98" s="194">
        <f t="shared" ref="E98:F98" si="9">$N$3*E97</f>
        <v>0</v>
      </c>
      <c r="F98" s="194">
        <f t="shared" si="9"/>
        <v>0</v>
      </c>
      <c r="G98" s="195">
        <f>SUM(D98:F98)</f>
        <v>0</v>
      </c>
      <c r="H98" s="199" t="str">
        <f>IFERROR(H94,"")</f>
        <v/>
      </c>
      <c r="I98" s="202" t="str">
        <f>IFERROR(G98/H98,"")</f>
        <v/>
      </c>
    </row>
    <row r="99" spans="2:9">
      <c r="B99" s="332"/>
      <c r="C99" s="187" t="s">
        <v>162</v>
      </c>
      <c r="D99" s="194">
        <f>D98+D94</f>
        <v>0</v>
      </c>
      <c r="E99" s="197">
        <f>E94+E98</f>
        <v>0</v>
      </c>
      <c r="F99" s="197">
        <f>F98+F94</f>
        <v>0</v>
      </c>
      <c r="G99" s="195">
        <f>SUM(D99:F99)</f>
        <v>0</v>
      </c>
      <c r="H99" s="199" t="str">
        <f>IFERROR(H98,"")</f>
        <v/>
      </c>
      <c r="I99" s="203" t="str">
        <f>IFERROR(G99/H99,"")</f>
        <v/>
      </c>
    </row>
    <row r="100" spans="2:9">
      <c r="B100" s="332"/>
      <c r="C100" s="187" t="s">
        <v>163</v>
      </c>
      <c r="D100" s="246"/>
      <c r="E100" s="246"/>
      <c r="F100" s="246"/>
      <c r="G100" s="200" t="str">
        <f>IFERROR((G103-G99)/G99,"")</f>
        <v/>
      </c>
      <c r="H100" s="205"/>
      <c r="I100" s="207"/>
    </row>
    <row r="101" spans="2:9">
      <c r="B101" s="332"/>
      <c r="C101" s="215" t="s">
        <v>181</v>
      </c>
      <c r="D101" s="216" t="str">
        <f>IF(D100&gt;0,D99*D100,"")</f>
        <v/>
      </c>
      <c r="E101" s="216" t="str">
        <f>IF(E100&gt;0,E99*E100,"")</f>
        <v/>
      </c>
      <c r="F101" s="216" t="str">
        <f>IF(F100&gt;0,F99*F100,"")</f>
        <v/>
      </c>
      <c r="G101" s="220">
        <f>SUM(D101:F101)</f>
        <v>0</v>
      </c>
      <c r="H101" s="205"/>
      <c r="I101" s="207"/>
    </row>
    <row r="102" spans="2:9">
      <c r="B102" s="332"/>
      <c r="C102" s="217" t="s">
        <v>182</v>
      </c>
      <c r="D102" s="218" t="str">
        <f>IF(D100&lt;0,D99*D100,"")</f>
        <v/>
      </c>
      <c r="E102" s="218" t="str">
        <f>IF(E100&lt;0,E99*E100,"")</f>
        <v/>
      </c>
      <c r="F102" s="218" t="str">
        <f>IF(F100&lt;0,F99*F100,"")</f>
        <v/>
      </c>
      <c r="G102" s="219">
        <f>SUM(D102:F102)</f>
        <v>0</v>
      </c>
      <c r="H102" s="205"/>
      <c r="I102" s="207"/>
    </row>
    <row r="103" spans="2:9">
      <c r="B103" s="333"/>
      <c r="C103" s="187" t="s">
        <v>164</v>
      </c>
      <c r="D103" s="194">
        <f>D99*(1+D100)</f>
        <v>0</v>
      </c>
      <c r="E103" s="194">
        <f>E99*(1+E100)</f>
        <v>0</v>
      </c>
      <c r="F103" s="194">
        <f>F99*(1+F100)</f>
        <v>0</v>
      </c>
      <c r="G103" s="195">
        <f>SUM(D103:F103)</f>
        <v>0</v>
      </c>
      <c r="H103" s="199" t="str">
        <f>IFERROR(G103/I103,"")</f>
        <v/>
      </c>
      <c r="I103" s="202" t="str">
        <f>IFERROR(I99,"")</f>
        <v/>
      </c>
    </row>
    <row r="104" spans="2:9">
      <c r="B104" s="180" t="s">
        <v>165</v>
      </c>
      <c r="C104" s="188"/>
      <c r="D104" s="189"/>
      <c r="E104" s="190"/>
      <c r="F104" s="188"/>
      <c r="G104" s="191" t="str">
        <f>IFERROR((H103/H9)-1,"")</f>
        <v/>
      </c>
      <c r="H104" s="192"/>
      <c r="I104" s="201"/>
    </row>
    <row r="105" spans="2:9">
      <c r="G105" s="1"/>
      <c r="H105" s="186"/>
      <c r="I105" s="185"/>
    </row>
    <row r="106" spans="2:9">
      <c r="B106" s="332" t="s">
        <v>176</v>
      </c>
      <c r="C106" s="209" t="s">
        <v>214</v>
      </c>
      <c r="D106" s="247"/>
      <c r="E106" s="247"/>
      <c r="F106" s="247"/>
      <c r="G106" s="204"/>
      <c r="H106" s="204"/>
      <c r="I106" s="204"/>
    </row>
    <row r="107" spans="2:9" ht="15" customHeight="1">
      <c r="B107" s="332"/>
      <c r="C107" s="187" t="s">
        <v>161</v>
      </c>
      <c r="D107" s="194">
        <f>$N$4*D106</f>
        <v>0</v>
      </c>
      <c r="E107" s="194">
        <f t="shared" ref="E107:F107" si="10">$N$4*E106</f>
        <v>0</v>
      </c>
      <c r="F107" s="194">
        <f t="shared" si="10"/>
        <v>0</v>
      </c>
      <c r="G107" s="195">
        <f>SUM(D107:F107)</f>
        <v>0</v>
      </c>
      <c r="H107" s="199" t="str">
        <f>IFERROR(H103,"")</f>
        <v/>
      </c>
      <c r="I107" s="202" t="str">
        <f>IFERROR(G107/H107,"")</f>
        <v/>
      </c>
    </row>
    <row r="108" spans="2:9">
      <c r="B108" s="332"/>
      <c r="C108" s="187" t="s">
        <v>162</v>
      </c>
      <c r="D108" s="194">
        <f>D107+D103</f>
        <v>0</v>
      </c>
      <c r="E108" s="197">
        <f>E103+E107</f>
        <v>0</v>
      </c>
      <c r="F108" s="197">
        <f>F107+F103</f>
        <v>0</v>
      </c>
      <c r="G108" s="195">
        <f>SUM(D108:F108)</f>
        <v>0</v>
      </c>
      <c r="H108" s="199" t="str">
        <f>IFERROR(H107,"")</f>
        <v/>
      </c>
      <c r="I108" s="203" t="str">
        <f>IFERROR(G108/H108,"")</f>
        <v/>
      </c>
    </row>
    <row r="109" spans="2:9">
      <c r="B109" s="332"/>
      <c r="C109" s="187" t="s">
        <v>163</v>
      </c>
      <c r="D109" s="246"/>
      <c r="E109" s="246"/>
      <c r="F109" s="246"/>
      <c r="G109" s="200" t="str">
        <f>IFERROR((G112-G108)/G108,"")</f>
        <v/>
      </c>
      <c r="H109" s="205"/>
      <c r="I109" s="207"/>
    </row>
    <row r="110" spans="2:9">
      <c r="B110" s="332"/>
      <c r="C110" s="215" t="s">
        <v>181</v>
      </c>
      <c r="D110" s="216" t="str">
        <f>IF(D109&gt;0,D108*D109,"")</f>
        <v/>
      </c>
      <c r="E110" s="216" t="str">
        <f>IF(E109&gt;0,E108*E109,"")</f>
        <v/>
      </c>
      <c r="F110" s="216" t="str">
        <f>IF(F109&gt;0,F108*F109,"")</f>
        <v/>
      </c>
      <c r="G110" s="220">
        <f>SUM(D110:F110)</f>
        <v>0</v>
      </c>
      <c r="H110" s="205"/>
      <c r="I110" s="207"/>
    </row>
    <row r="111" spans="2:9">
      <c r="B111" s="332"/>
      <c r="C111" s="217" t="s">
        <v>182</v>
      </c>
      <c r="D111" s="218" t="str">
        <f>IF(D109&lt;0,D108*D109,"")</f>
        <v/>
      </c>
      <c r="E111" s="218" t="str">
        <f>IF(E109&lt;0,E108*E109,"")</f>
        <v/>
      </c>
      <c r="F111" s="218" t="str">
        <f>IF(F109&lt;0,F108*F109,"")</f>
        <v/>
      </c>
      <c r="G111" s="219">
        <f>SUM(D111:F111)</f>
        <v>0</v>
      </c>
      <c r="H111" s="205"/>
      <c r="I111" s="207"/>
    </row>
    <row r="112" spans="2:9">
      <c r="B112" s="333"/>
      <c r="C112" s="187" t="s">
        <v>164</v>
      </c>
      <c r="D112" s="194">
        <f>D108*(1+D109)</f>
        <v>0</v>
      </c>
      <c r="E112" s="194">
        <f>E108*(1+E109)</f>
        <v>0</v>
      </c>
      <c r="F112" s="194">
        <f>F108*(1+F109)</f>
        <v>0</v>
      </c>
      <c r="G112" s="208">
        <f>SUM(D112:F112)</f>
        <v>0</v>
      </c>
      <c r="H112" s="199" t="str">
        <f>IFERROR(G112/I112,"")</f>
        <v/>
      </c>
      <c r="I112" s="202" t="str">
        <f>IFERROR(I108,"")</f>
        <v/>
      </c>
    </row>
    <row r="113" spans="2:9">
      <c r="B113" s="180" t="s">
        <v>165</v>
      </c>
      <c r="C113" s="188"/>
      <c r="D113" s="189"/>
      <c r="E113" s="190"/>
      <c r="F113" s="188"/>
      <c r="G113" s="191" t="str">
        <f>IFERROR((H112/H9)-1,"")</f>
        <v/>
      </c>
      <c r="H113" s="192"/>
      <c r="I113" s="193"/>
    </row>
  </sheetData>
  <protectedRanges>
    <protectedRange sqref="C2 C4:E4" name="Registros_Investimento"/>
    <protectedRange sqref="H8" name="Registros_Investimento_5"/>
  </protectedRanges>
  <mergeCells count="13">
    <mergeCell ref="G1:N1"/>
    <mergeCell ref="B106:B112"/>
    <mergeCell ref="B97:B103"/>
    <mergeCell ref="B88:B94"/>
    <mergeCell ref="B52:B58"/>
    <mergeCell ref="B61:B67"/>
    <mergeCell ref="B70:B76"/>
    <mergeCell ref="B79:B85"/>
    <mergeCell ref="B7:B13"/>
    <mergeCell ref="B16:B22"/>
    <mergeCell ref="B25:B31"/>
    <mergeCell ref="B34:B40"/>
    <mergeCell ref="B43:B49"/>
  </mergeCells>
  <conditionalFormatting sqref="D10:F10 E923 D19:F19 D37:F37 D28:F28 D46:F46 D55:F55 D64:F64 D73:F73 D82:F82 D91:F91 D100:F100 D109:F109">
    <cfRule type="cellIs" dxfId="36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9"/>
  <dimension ref="B1:N52"/>
  <sheetViews>
    <sheetView showGridLines="0" showRowColHeaders="0" tabSelected="1" zoomScale="90" zoomScaleNormal="90" workbookViewId="0"/>
  </sheetViews>
  <sheetFormatPr defaultRowHeight="15"/>
  <cols>
    <col min="3" max="3" width="13.85546875" bestFit="1" customWidth="1"/>
    <col min="14" max="14" width="10" bestFit="1" customWidth="1"/>
  </cols>
  <sheetData>
    <row r="1" spans="2:5" ht="21" customHeight="1"/>
    <row r="2" spans="2:5">
      <c r="B2" t="s">
        <v>179</v>
      </c>
      <c r="D2" t="s">
        <v>111</v>
      </c>
      <c r="E2">
        <v>2500</v>
      </c>
    </row>
    <row r="3" spans="2:5">
      <c r="B3" t="s">
        <v>0</v>
      </c>
      <c r="C3" s="42">
        <f>Geral!F118</f>
        <v>0</v>
      </c>
      <c r="D3" t="s">
        <v>0</v>
      </c>
      <c r="E3">
        <f>$E$2</f>
        <v>2500</v>
      </c>
    </row>
    <row r="4" spans="2:5">
      <c r="B4" t="s">
        <v>1</v>
      </c>
      <c r="C4" s="42">
        <f>Geral!G118</f>
        <v>0</v>
      </c>
      <c r="D4" t="s">
        <v>1</v>
      </c>
      <c r="E4">
        <f t="shared" ref="E4:E14" si="0">$E$2</f>
        <v>2500</v>
      </c>
    </row>
    <row r="5" spans="2:5">
      <c r="B5" t="s">
        <v>2</v>
      </c>
      <c r="C5" s="42">
        <f>Geral!H118</f>
        <v>0</v>
      </c>
      <c r="D5" t="s">
        <v>2</v>
      </c>
      <c r="E5">
        <f t="shared" si="0"/>
        <v>2500</v>
      </c>
    </row>
    <row r="6" spans="2:5">
      <c r="B6" t="s">
        <v>3</v>
      </c>
      <c r="C6" s="42">
        <f>Geral!I118</f>
        <v>0</v>
      </c>
      <c r="D6" t="s">
        <v>3</v>
      </c>
      <c r="E6">
        <f t="shared" si="0"/>
        <v>2500</v>
      </c>
    </row>
    <row r="7" spans="2:5">
      <c r="B7" t="s">
        <v>4</v>
      </c>
      <c r="C7" s="42">
        <f>Geral!J118</f>
        <v>0</v>
      </c>
      <c r="D7" t="s">
        <v>4</v>
      </c>
      <c r="E7">
        <f t="shared" si="0"/>
        <v>2500</v>
      </c>
    </row>
    <row r="8" spans="2:5">
      <c r="B8" t="s">
        <v>5</v>
      </c>
      <c r="C8" s="42">
        <f>Geral!K118</f>
        <v>0</v>
      </c>
      <c r="D8" t="s">
        <v>5</v>
      </c>
      <c r="E8">
        <f t="shared" si="0"/>
        <v>2500</v>
      </c>
    </row>
    <row r="9" spans="2:5">
      <c r="B9" t="s">
        <v>6</v>
      </c>
      <c r="C9" s="42">
        <f>Geral!L118</f>
        <v>0</v>
      </c>
      <c r="D9" t="s">
        <v>6</v>
      </c>
      <c r="E9">
        <f t="shared" si="0"/>
        <v>2500</v>
      </c>
    </row>
    <row r="10" spans="2:5">
      <c r="B10" t="s">
        <v>7</v>
      </c>
      <c r="C10" s="42">
        <f>Geral!M118</f>
        <v>0</v>
      </c>
      <c r="D10" t="s">
        <v>7</v>
      </c>
      <c r="E10">
        <f t="shared" si="0"/>
        <v>2500</v>
      </c>
    </row>
    <row r="11" spans="2:5">
      <c r="B11" t="s">
        <v>8</v>
      </c>
      <c r="C11" s="42">
        <f>Geral!N118</f>
        <v>0</v>
      </c>
      <c r="D11" t="s">
        <v>8</v>
      </c>
      <c r="E11">
        <f t="shared" si="0"/>
        <v>2500</v>
      </c>
    </row>
    <row r="12" spans="2:5">
      <c r="B12" t="s">
        <v>9</v>
      </c>
      <c r="C12" s="42">
        <f>Geral!O118</f>
        <v>0</v>
      </c>
      <c r="D12" t="s">
        <v>9</v>
      </c>
      <c r="E12">
        <f t="shared" si="0"/>
        <v>2500</v>
      </c>
    </row>
    <row r="13" spans="2:5">
      <c r="B13" t="s">
        <v>10</v>
      </c>
      <c r="C13" s="42">
        <f>Geral!P118</f>
        <v>0</v>
      </c>
      <c r="D13" t="s">
        <v>10</v>
      </c>
      <c r="E13">
        <f t="shared" si="0"/>
        <v>2500</v>
      </c>
    </row>
    <row r="14" spans="2:5">
      <c r="B14" t="s">
        <v>11</v>
      </c>
      <c r="C14" s="42">
        <f>Geral!Q118</f>
        <v>0</v>
      </c>
      <c r="D14" t="s">
        <v>11</v>
      </c>
      <c r="E14">
        <f t="shared" si="0"/>
        <v>2500</v>
      </c>
    </row>
    <row r="20" spans="2:14">
      <c r="B20" t="s">
        <v>181</v>
      </c>
      <c r="D20" t="s">
        <v>111</v>
      </c>
      <c r="E20">
        <v>100</v>
      </c>
      <c r="M20" t="s">
        <v>182</v>
      </c>
    </row>
    <row r="21" spans="2:14">
      <c r="B21" t="s">
        <v>0</v>
      </c>
      <c r="C21" s="42">
        <f>Investimentos!G11</f>
        <v>0</v>
      </c>
      <c r="D21" t="s">
        <v>0</v>
      </c>
      <c r="E21">
        <f>$E$20</f>
        <v>100</v>
      </c>
      <c r="M21" t="s">
        <v>0</v>
      </c>
      <c r="N21" s="42">
        <f>Investimentos!G12</f>
        <v>0</v>
      </c>
    </row>
    <row r="22" spans="2:14">
      <c r="B22" t="s">
        <v>1</v>
      </c>
      <c r="C22" s="42">
        <f>Investimentos!G20</f>
        <v>0</v>
      </c>
      <c r="D22" t="s">
        <v>1</v>
      </c>
      <c r="E22">
        <f t="shared" ref="E22:E32" si="1">$E$20</f>
        <v>100</v>
      </c>
      <c r="M22" t="s">
        <v>1</v>
      </c>
      <c r="N22" s="42">
        <f>Investimentos!G21</f>
        <v>0</v>
      </c>
    </row>
    <row r="23" spans="2:14">
      <c r="B23" t="s">
        <v>2</v>
      </c>
      <c r="C23" s="42">
        <f>Investimentos!G29</f>
        <v>0</v>
      </c>
      <c r="D23" t="s">
        <v>2</v>
      </c>
      <c r="E23">
        <f t="shared" si="1"/>
        <v>100</v>
      </c>
      <c r="M23" t="s">
        <v>2</v>
      </c>
      <c r="N23" s="42">
        <f>Investimentos!G30</f>
        <v>0</v>
      </c>
    </row>
    <row r="24" spans="2:14">
      <c r="B24" t="s">
        <v>3</v>
      </c>
      <c r="C24" s="42">
        <f>Investimentos!G38</f>
        <v>0</v>
      </c>
      <c r="D24" t="s">
        <v>3</v>
      </c>
      <c r="E24">
        <f t="shared" si="1"/>
        <v>100</v>
      </c>
      <c r="M24" t="s">
        <v>3</v>
      </c>
      <c r="N24" s="42">
        <f>Investimentos!G39</f>
        <v>0</v>
      </c>
    </row>
    <row r="25" spans="2:14">
      <c r="B25" t="s">
        <v>4</v>
      </c>
      <c r="C25" s="42">
        <f>Investimentos!G47</f>
        <v>0</v>
      </c>
      <c r="D25" t="s">
        <v>4</v>
      </c>
      <c r="E25">
        <f t="shared" si="1"/>
        <v>100</v>
      </c>
      <c r="M25" t="s">
        <v>4</v>
      </c>
      <c r="N25" s="42">
        <f>Investimentos!G48</f>
        <v>0</v>
      </c>
    </row>
    <row r="26" spans="2:14">
      <c r="B26" t="s">
        <v>5</v>
      </c>
      <c r="C26" s="42">
        <f>Investimentos!G56</f>
        <v>0</v>
      </c>
      <c r="D26" t="s">
        <v>5</v>
      </c>
      <c r="E26">
        <f t="shared" si="1"/>
        <v>100</v>
      </c>
      <c r="M26" t="s">
        <v>5</v>
      </c>
      <c r="N26" s="42">
        <f>Investimentos!G57</f>
        <v>0</v>
      </c>
    </row>
    <row r="27" spans="2:14">
      <c r="B27" t="s">
        <v>6</v>
      </c>
      <c r="C27" s="42">
        <f>Investimentos!G65</f>
        <v>0</v>
      </c>
      <c r="D27" t="s">
        <v>6</v>
      </c>
      <c r="E27">
        <f t="shared" si="1"/>
        <v>100</v>
      </c>
      <c r="M27" t="s">
        <v>6</v>
      </c>
      <c r="N27" s="42">
        <f>Investimentos!G66</f>
        <v>0</v>
      </c>
    </row>
    <row r="28" spans="2:14">
      <c r="B28" t="s">
        <v>7</v>
      </c>
      <c r="C28" s="42">
        <f>Investimentos!G74</f>
        <v>0</v>
      </c>
      <c r="D28" t="s">
        <v>7</v>
      </c>
      <c r="E28">
        <f t="shared" si="1"/>
        <v>100</v>
      </c>
      <c r="M28" t="s">
        <v>7</v>
      </c>
      <c r="N28" s="42">
        <f>Investimentos!G75</f>
        <v>0</v>
      </c>
    </row>
    <row r="29" spans="2:14">
      <c r="B29" t="s">
        <v>8</v>
      </c>
      <c r="C29" s="42">
        <f>Investimentos!G83</f>
        <v>0</v>
      </c>
      <c r="D29" t="s">
        <v>8</v>
      </c>
      <c r="E29">
        <f t="shared" si="1"/>
        <v>100</v>
      </c>
      <c r="M29" t="s">
        <v>8</v>
      </c>
      <c r="N29" s="42">
        <f>Investimentos!G84</f>
        <v>0</v>
      </c>
    </row>
    <row r="30" spans="2:14">
      <c r="B30" t="s">
        <v>9</v>
      </c>
      <c r="C30" s="42">
        <f>Investimentos!G92</f>
        <v>0</v>
      </c>
      <c r="D30" t="s">
        <v>9</v>
      </c>
      <c r="E30">
        <f t="shared" si="1"/>
        <v>100</v>
      </c>
      <c r="M30" t="s">
        <v>9</v>
      </c>
      <c r="N30" s="42">
        <f>Investimentos!G93</f>
        <v>0</v>
      </c>
    </row>
    <row r="31" spans="2:14">
      <c r="B31" t="s">
        <v>10</v>
      </c>
      <c r="C31" s="42">
        <f>Investimentos!G101</f>
        <v>0</v>
      </c>
      <c r="D31" t="s">
        <v>10</v>
      </c>
      <c r="E31">
        <f t="shared" si="1"/>
        <v>100</v>
      </c>
      <c r="M31" t="s">
        <v>10</v>
      </c>
      <c r="N31" s="42">
        <f>Investimentos!G102</f>
        <v>0</v>
      </c>
    </row>
    <row r="32" spans="2:14">
      <c r="B32" t="s">
        <v>11</v>
      </c>
      <c r="C32" s="42">
        <f>Investimentos!G110</f>
        <v>0</v>
      </c>
      <c r="D32" t="s">
        <v>11</v>
      </c>
      <c r="E32">
        <f t="shared" si="1"/>
        <v>100</v>
      </c>
      <c r="M32" t="s">
        <v>11</v>
      </c>
      <c r="N32" s="42">
        <f>Investimentos!G111</f>
        <v>0</v>
      </c>
    </row>
    <row r="40" spans="2:5">
      <c r="B40" t="s">
        <v>184</v>
      </c>
      <c r="D40" t="s">
        <v>183</v>
      </c>
      <c r="E40">
        <v>150</v>
      </c>
    </row>
    <row r="41" spans="2:5">
      <c r="B41" t="s">
        <v>0</v>
      </c>
      <c r="C41" s="181">
        <f>C21+N21</f>
        <v>0</v>
      </c>
      <c r="D41" t="s">
        <v>0</v>
      </c>
      <c r="E41">
        <f>$E$40</f>
        <v>150</v>
      </c>
    </row>
    <row r="42" spans="2:5">
      <c r="B42" t="s">
        <v>1</v>
      </c>
      <c r="C42" s="181">
        <f t="shared" ref="C42:C52" si="2">C22+N22</f>
        <v>0</v>
      </c>
      <c r="D42" t="s">
        <v>1</v>
      </c>
      <c r="E42">
        <f t="shared" ref="E42:E52" si="3">$E$40</f>
        <v>150</v>
      </c>
    </row>
    <row r="43" spans="2:5">
      <c r="B43" t="s">
        <v>2</v>
      </c>
      <c r="C43" s="181">
        <f t="shared" si="2"/>
        <v>0</v>
      </c>
      <c r="D43" t="s">
        <v>2</v>
      </c>
      <c r="E43">
        <f t="shared" si="3"/>
        <v>150</v>
      </c>
    </row>
    <row r="44" spans="2:5">
      <c r="B44" t="s">
        <v>3</v>
      </c>
      <c r="C44" s="181">
        <f t="shared" si="2"/>
        <v>0</v>
      </c>
      <c r="D44" t="s">
        <v>3</v>
      </c>
      <c r="E44">
        <f t="shared" si="3"/>
        <v>150</v>
      </c>
    </row>
    <row r="45" spans="2:5">
      <c r="B45" t="s">
        <v>4</v>
      </c>
      <c r="C45" s="181">
        <f t="shared" si="2"/>
        <v>0</v>
      </c>
      <c r="D45" t="s">
        <v>4</v>
      </c>
      <c r="E45">
        <f t="shared" si="3"/>
        <v>150</v>
      </c>
    </row>
    <row r="46" spans="2:5">
      <c r="B46" t="s">
        <v>5</v>
      </c>
      <c r="C46" s="181">
        <f t="shared" si="2"/>
        <v>0</v>
      </c>
      <c r="D46" t="s">
        <v>5</v>
      </c>
      <c r="E46">
        <f t="shared" si="3"/>
        <v>150</v>
      </c>
    </row>
    <row r="47" spans="2:5">
      <c r="B47" t="s">
        <v>6</v>
      </c>
      <c r="C47" s="181">
        <f t="shared" si="2"/>
        <v>0</v>
      </c>
      <c r="D47" t="s">
        <v>6</v>
      </c>
      <c r="E47">
        <f t="shared" si="3"/>
        <v>150</v>
      </c>
    </row>
    <row r="48" spans="2:5">
      <c r="B48" t="s">
        <v>7</v>
      </c>
      <c r="C48" s="181">
        <f t="shared" si="2"/>
        <v>0</v>
      </c>
      <c r="D48" t="s">
        <v>7</v>
      </c>
      <c r="E48">
        <f t="shared" si="3"/>
        <v>150</v>
      </c>
    </row>
    <row r="49" spans="2:5">
      <c r="B49" t="s">
        <v>8</v>
      </c>
      <c r="C49" s="181">
        <f t="shared" si="2"/>
        <v>0</v>
      </c>
      <c r="D49" t="s">
        <v>8</v>
      </c>
      <c r="E49">
        <f t="shared" si="3"/>
        <v>150</v>
      </c>
    </row>
    <row r="50" spans="2:5">
      <c r="B50" t="s">
        <v>9</v>
      </c>
      <c r="C50" s="181">
        <f t="shared" si="2"/>
        <v>0</v>
      </c>
      <c r="D50" t="s">
        <v>9</v>
      </c>
      <c r="E50">
        <f t="shared" si="3"/>
        <v>150</v>
      </c>
    </row>
    <row r="51" spans="2:5">
      <c r="B51" t="s">
        <v>10</v>
      </c>
      <c r="C51" s="181">
        <f t="shared" si="2"/>
        <v>0</v>
      </c>
      <c r="D51" t="s">
        <v>10</v>
      </c>
      <c r="E51">
        <f t="shared" si="3"/>
        <v>150</v>
      </c>
    </row>
    <row r="52" spans="2:5">
      <c r="B52" t="s">
        <v>11</v>
      </c>
      <c r="C52" s="181">
        <f t="shared" si="2"/>
        <v>0</v>
      </c>
      <c r="D52" t="s">
        <v>11</v>
      </c>
      <c r="E52">
        <f t="shared" si="3"/>
        <v>150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Spinner 1">
              <controlPr defaultSize="0" autoPict="0">
                <anchor moveWithCells="1" sizeWithCells="1">
                  <from>
                    <xdr:col>9</xdr:col>
                    <xdr:colOff>514350</xdr:colOff>
                    <xdr:row>0</xdr:row>
                    <xdr:rowOff>257175</xdr:rowOff>
                  </from>
                  <to>
                    <xdr:col>10</xdr:col>
                    <xdr:colOff>514350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Spinner 2">
              <controlPr defaultSize="0" autoPict="0">
                <anchor moveWithCells="1" sizeWithCells="1">
                  <from>
                    <xdr:col>9</xdr:col>
                    <xdr:colOff>581025</xdr:colOff>
                    <xdr:row>19</xdr:row>
                    <xdr:rowOff>85725</xdr:rowOff>
                  </from>
                  <to>
                    <xdr:col>10</xdr:col>
                    <xdr:colOff>590550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Spinner 4">
              <controlPr defaultSize="0" autoPict="0">
                <anchor moveWithCells="1" sizeWithCells="1">
                  <from>
                    <xdr:col>9</xdr:col>
                    <xdr:colOff>561975</xdr:colOff>
                    <xdr:row>38</xdr:row>
                    <xdr:rowOff>152400</xdr:rowOff>
                  </from>
                  <to>
                    <xdr:col>10</xdr:col>
                    <xdr:colOff>561975</xdr:colOff>
                    <xdr:row>40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2F98-515B-4722-BA86-EEDECA141892}">
  <dimension ref="B1:AJ66"/>
  <sheetViews>
    <sheetView showGridLines="0" showRowColHeaders="0"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2" max="2" width="18.5703125" customWidth="1"/>
    <col min="3" max="3" width="18.28515625" bestFit="1" customWidth="1"/>
    <col min="4" max="4" width="19.7109375" bestFit="1" customWidth="1"/>
    <col min="5" max="35" width="12.5703125" bestFit="1" customWidth="1"/>
    <col min="36" max="36" width="13.5703125" bestFit="1" customWidth="1"/>
  </cols>
  <sheetData>
    <row r="1" spans="2:36" ht="15.75" thickBot="1"/>
    <row r="2" spans="2:36" ht="33.75" customHeight="1" thickBot="1">
      <c r="B2" s="337" t="s">
        <v>0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</row>
    <row r="4" spans="2:36" ht="15.75" thickBot="1">
      <c r="B4" s="278"/>
      <c r="C4" s="5"/>
      <c r="D4" s="12" t="s">
        <v>57</v>
      </c>
      <c r="E4" s="277">
        <v>1</v>
      </c>
      <c r="F4" s="277">
        <v>2</v>
      </c>
      <c r="G4" s="277">
        <v>3</v>
      </c>
      <c r="H4" s="277">
        <v>4</v>
      </c>
      <c r="I4" s="277">
        <v>5</v>
      </c>
      <c r="J4" s="277">
        <v>6</v>
      </c>
      <c r="K4" s="277">
        <v>7</v>
      </c>
      <c r="L4" s="277">
        <v>8</v>
      </c>
      <c r="M4" s="277">
        <v>9</v>
      </c>
      <c r="N4" s="277">
        <v>10</v>
      </c>
      <c r="O4" s="277">
        <v>11</v>
      </c>
      <c r="P4" s="277">
        <v>12</v>
      </c>
      <c r="Q4" s="277">
        <v>13</v>
      </c>
      <c r="R4" s="277">
        <v>14</v>
      </c>
      <c r="S4" s="277">
        <v>15</v>
      </c>
      <c r="T4" s="277">
        <v>16</v>
      </c>
      <c r="U4" s="277">
        <v>17</v>
      </c>
      <c r="V4" s="277">
        <v>18</v>
      </c>
      <c r="W4" s="277">
        <v>19</v>
      </c>
      <c r="X4" s="277">
        <v>20</v>
      </c>
      <c r="Y4" s="277">
        <v>21</v>
      </c>
      <c r="Z4" s="277">
        <v>22</v>
      </c>
      <c r="AA4" s="277">
        <v>23</v>
      </c>
      <c r="AB4" s="277">
        <v>24</v>
      </c>
      <c r="AC4" s="277">
        <v>25</v>
      </c>
      <c r="AD4" s="277">
        <v>26</v>
      </c>
      <c r="AE4" s="277">
        <v>27</v>
      </c>
      <c r="AF4" s="277">
        <v>28</v>
      </c>
      <c r="AG4" s="277">
        <v>29</v>
      </c>
      <c r="AH4" s="277">
        <v>30</v>
      </c>
      <c r="AI4" s="277">
        <v>31</v>
      </c>
      <c r="AJ4" s="27" t="s">
        <v>103</v>
      </c>
    </row>
    <row r="5" spans="2:36" ht="15.75" thickBot="1">
      <c r="B5" s="338" t="s">
        <v>127</v>
      </c>
      <c r="C5" s="336" t="s">
        <v>25</v>
      </c>
      <c r="D5" s="268" t="s">
        <v>30</v>
      </c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11">
        <f t="shared" ref="AJ5:AJ12" si="0">SUM(E5:AI5)</f>
        <v>0</v>
      </c>
    </row>
    <row r="6" spans="2:36" ht="15.75" thickBot="1">
      <c r="B6" s="338"/>
      <c r="C6" s="336"/>
      <c r="D6" s="271" t="s">
        <v>26</v>
      </c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11">
        <f t="shared" si="0"/>
        <v>0</v>
      </c>
    </row>
    <row r="7" spans="2:36" ht="15.75" thickBot="1">
      <c r="B7" s="338"/>
      <c r="C7" s="336"/>
      <c r="D7" s="271" t="s">
        <v>29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11">
        <f t="shared" si="0"/>
        <v>0</v>
      </c>
    </row>
    <row r="8" spans="2:36" ht="15.75" thickBot="1">
      <c r="B8" s="338"/>
      <c r="C8" s="336"/>
      <c r="D8" s="271" t="s">
        <v>27</v>
      </c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11">
        <f t="shared" si="0"/>
        <v>0</v>
      </c>
    </row>
    <row r="9" spans="2:36" ht="15.75" thickBot="1">
      <c r="B9" s="338"/>
      <c r="C9" s="336"/>
      <c r="D9" s="271" t="s">
        <v>28</v>
      </c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11">
        <f t="shared" si="0"/>
        <v>0</v>
      </c>
    </row>
    <row r="10" spans="2:36" ht="15.75" thickBot="1">
      <c r="B10" s="338"/>
      <c r="C10" s="336"/>
      <c r="D10" s="272" t="s">
        <v>86</v>
      </c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11">
        <f t="shared" si="0"/>
        <v>0</v>
      </c>
    </row>
    <row r="11" spans="2:36" ht="15.75" thickBot="1">
      <c r="B11" s="338"/>
      <c r="C11" s="336"/>
      <c r="D11" s="272" t="s">
        <v>87</v>
      </c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11">
        <f t="shared" si="0"/>
        <v>0</v>
      </c>
    </row>
    <row r="12" spans="2:36" ht="15.75" thickBot="1">
      <c r="B12" s="338"/>
      <c r="C12" s="336"/>
      <c r="D12" s="272" t="s">
        <v>52</v>
      </c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11">
        <f t="shared" si="0"/>
        <v>0</v>
      </c>
    </row>
    <row r="13" spans="2:36" ht="15.75" thickBot="1">
      <c r="B13" s="338"/>
      <c r="C13" s="336"/>
      <c r="D13" s="20" t="s">
        <v>17</v>
      </c>
      <c r="E13" s="21">
        <f>SUM(E5:E12)</f>
        <v>0</v>
      </c>
      <c r="F13" s="21">
        <f t="shared" ref="F13:AJ13" si="1">SUM(F5:F12)</f>
        <v>0</v>
      </c>
      <c r="G13" s="21">
        <f t="shared" si="1"/>
        <v>0</v>
      </c>
      <c r="H13" s="21">
        <f t="shared" si="1"/>
        <v>0</v>
      </c>
      <c r="I13" s="21">
        <f t="shared" si="1"/>
        <v>0</v>
      </c>
      <c r="J13" s="21">
        <f t="shared" si="1"/>
        <v>0</v>
      </c>
      <c r="K13" s="21">
        <f t="shared" si="1"/>
        <v>0</v>
      </c>
      <c r="L13" s="21">
        <f t="shared" si="1"/>
        <v>0</v>
      </c>
      <c r="M13" s="21">
        <f t="shared" si="1"/>
        <v>0</v>
      </c>
      <c r="N13" s="21">
        <f t="shared" si="1"/>
        <v>0</v>
      </c>
      <c r="O13" s="21">
        <f t="shared" si="1"/>
        <v>0</v>
      </c>
      <c r="P13" s="21">
        <f t="shared" si="1"/>
        <v>0</v>
      </c>
      <c r="Q13" s="21">
        <f t="shared" si="1"/>
        <v>0</v>
      </c>
      <c r="R13" s="21">
        <f t="shared" si="1"/>
        <v>0</v>
      </c>
      <c r="S13" s="21">
        <f t="shared" si="1"/>
        <v>0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21">
        <f t="shared" si="1"/>
        <v>0</v>
      </c>
      <c r="AG13" s="21">
        <f t="shared" si="1"/>
        <v>0</v>
      </c>
      <c r="AH13" s="21">
        <f t="shared" si="1"/>
        <v>0</v>
      </c>
      <c r="AI13" s="21">
        <f t="shared" si="1"/>
        <v>0</v>
      </c>
      <c r="AJ13" s="21">
        <f t="shared" si="1"/>
        <v>0</v>
      </c>
    </row>
    <row r="14" spans="2:36" ht="15.75" thickBot="1">
      <c r="B14" s="338"/>
      <c r="C14" s="336" t="s">
        <v>23</v>
      </c>
      <c r="D14" s="273" t="s">
        <v>31</v>
      </c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11">
        <f t="shared" ref="AJ14:AJ22" si="2">SUM(E14:AI14)</f>
        <v>0</v>
      </c>
    </row>
    <row r="15" spans="2:36" ht="15.75" thickBot="1">
      <c r="B15" s="338"/>
      <c r="C15" s="336"/>
      <c r="D15" s="271" t="s">
        <v>32</v>
      </c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11">
        <f t="shared" si="2"/>
        <v>0</v>
      </c>
    </row>
    <row r="16" spans="2:36" ht="15.75" thickBot="1">
      <c r="B16" s="338"/>
      <c r="C16" s="336"/>
      <c r="D16" s="271" t="s">
        <v>33</v>
      </c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11">
        <f t="shared" si="2"/>
        <v>0</v>
      </c>
    </row>
    <row r="17" spans="2:36" ht="15.75" thickBot="1">
      <c r="B17" s="338"/>
      <c r="C17" s="336"/>
      <c r="D17" s="271" t="s">
        <v>54</v>
      </c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  <c r="AJ17" s="11">
        <f t="shared" si="2"/>
        <v>0</v>
      </c>
    </row>
    <row r="18" spans="2:36" ht="15.75" thickBot="1">
      <c r="B18" s="338"/>
      <c r="C18" s="336"/>
      <c r="D18" s="271" t="s">
        <v>55</v>
      </c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  <c r="AJ18" s="11">
        <f t="shared" si="2"/>
        <v>0</v>
      </c>
    </row>
    <row r="19" spans="2:36" ht="15.75" thickBot="1">
      <c r="B19" s="338"/>
      <c r="C19" s="336"/>
      <c r="D19" s="271" t="s">
        <v>38</v>
      </c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  <c r="AF19" s="269"/>
      <c r="AG19" s="269"/>
      <c r="AH19" s="269"/>
      <c r="AI19" s="269"/>
      <c r="AJ19" s="11">
        <f t="shared" si="2"/>
        <v>0</v>
      </c>
    </row>
    <row r="20" spans="2:36" ht="15.75" thickBot="1">
      <c r="B20" s="338"/>
      <c r="C20" s="336"/>
      <c r="D20" s="271" t="s">
        <v>37</v>
      </c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  <c r="AF20" s="269"/>
      <c r="AG20" s="269"/>
      <c r="AH20" s="269"/>
      <c r="AI20" s="269"/>
      <c r="AJ20" s="11">
        <f t="shared" si="2"/>
        <v>0</v>
      </c>
    </row>
    <row r="21" spans="2:36" ht="15.75" thickBot="1">
      <c r="B21" s="338"/>
      <c r="C21" s="336"/>
      <c r="D21" s="271" t="s">
        <v>75</v>
      </c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  <c r="AF21" s="269"/>
      <c r="AG21" s="269"/>
      <c r="AH21" s="269"/>
      <c r="AI21" s="269"/>
      <c r="AJ21" s="11">
        <f t="shared" si="2"/>
        <v>0</v>
      </c>
    </row>
    <row r="22" spans="2:36" ht="15.75" thickBot="1">
      <c r="B22" s="338"/>
      <c r="C22" s="336"/>
      <c r="D22" s="271" t="s">
        <v>52</v>
      </c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  <c r="AF22" s="269"/>
      <c r="AG22" s="269"/>
      <c r="AH22" s="269"/>
      <c r="AI22" s="269"/>
      <c r="AJ22" s="11">
        <f t="shared" si="2"/>
        <v>0</v>
      </c>
    </row>
    <row r="23" spans="2:36" ht="15.75" thickBot="1">
      <c r="B23" s="338"/>
      <c r="C23" s="336"/>
      <c r="D23" s="22" t="s">
        <v>17</v>
      </c>
      <c r="E23" s="21">
        <f>SUM(E14:E22)</f>
        <v>0</v>
      </c>
      <c r="F23" s="21">
        <f>SUM(F14:F22)</f>
        <v>0</v>
      </c>
      <c r="G23" s="21">
        <f t="shared" ref="G23:AJ23" si="3">SUM(G14:G22)</f>
        <v>0</v>
      </c>
      <c r="H23" s="21">
        <f t="shared" si="3"/>
        <v>0</v>
      </c>
      <c r="I23" s="21">
        <f t="shared" si="3"/>
        <v>0</v>
      </c>
      <c r="J23" s="21">
        <f t="shared" si="3"/>
        <v>0</v>
      </c>
      <c r="K23" s="21">
        <f t="shared" si="3"/>
        <v>0</v>
      </c>
      <c r="L23" s="21">
        <f t="shared" si="3"/>
        <v>0</v>
      </c>
      <c r="M23" s="21">
        <f t="shared" si="3"/>
        <v>0</v>
      </c>
      <c r="N23" s="21">
        <f t="shared" si="3"/>
        <v>0</v>
      </c>
      <c r="O23" s="21">
        <f t="shared" si="3"/>
        <v>0</v>
      </c>
      <c r="P23" s="21">
        <f t="shared" si="3"/>
        <v>0</v>
      </c>
      <c r="Q23" s="21">
        <f t="shared" si="3"/>
        <v>0</v>
      </c>
      <c r="R23" s="21">
        <f t="shared" si="3"/>
        <v>0</v>
      </c>
      <c r="S23" s="21">
        <f t="shared" si="3"/>
        <v>0</v>
      </c>
      <c r="T23" s="21">
        <f t="shared" si="3"/>
        <v>0</v>
      </c>
      <c r="U23" s="21">
        <f t="shared" si="3"/>
        <v>0</v>
      </c>
      <c r="V23" s="21">
        <f t="shared" si="3"/>
        <v>0</v>
      </c>
      <c r="W23" s="21">
        <f t="shared" si="3"/>
        <v>0</v>
      </c>
      <c r="X23" s="21">
        <f t="shared" si="3"/>
        <v>0</v>
      </c>
      <c r="Y23" s="21">
        <f t="shared" si="3"/>
        <v>0</v>
      </c>
      <c r="Z23" s="21">
        <f t="shared" si="3"/>
        <v>0</v>
      </c>
      <c r="AA23" s="21">
        <f t="shared" si="3"/>
        <v>0</v>
      </c>
      <c r="AB23" s="21">
        <f t="shared" si="3"/>
        <v>0</v>
      </c>
      <c r="AC23" s="21">
        <f t="shared" si="3"/>
        <v>0</v>
      </c>
      <c r="AD23" s="21">
        <f t="shared" si="3"/>
        <v>0</v>
      </c>
      <c r="AE23" s="21">
        <f t="shared" si="3"/>
        <v>0</v>
      </c>
      <c r="AF23" s="21">
        <f t="shared" si="3"/>
        <v>0</v>
      </c>
      <c r="AG23" s="21">
        <f t="shared" si="3"/>
        <v>0</v>
      </c>
      <c r="AH23" s="21">
        <f t="shared" si="3"/>
        <v>0</v>
      </c>
      <c r="AI23" s="21">
        <f t="shared" si="3"/>
        <v>0</v>
      </c>
      <c r="AJ23" s="21">
        <f t="shared" si="3"/>
        <v>0</v>
      </c>
    </row>
    <row r="24" spans="2:36" ht="15.75" thickBot="1">
      <c r="B24" s="338"/>
      <c r="C24" s="336" t="s">
        <v>39</v>
      </c>
      <c r="D24" s="271" t="s">
        <v>40</v>
      </c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  <c r="AF24" s="269"/>
      <c r="AG24" s="269"/>
      <c r="AH24" s="269"/>
      <c r="AI24" s="269"/>
      <c r="AJ24" s="11">
        <f>SUM(E24:AI24)</f>
        <v>0</v>
      </c>
    </row>
    <row r="25" spans="2:36" ht="15.75" thickBot="1">
      <c r="B25" s="338"/>
      <c r="C25" s="336"/>
      <c r="D25" s="271" t="s">
        <v>41</v>
      </c>
      <c r="E25" s="269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  <c r="AF25" s="269"/>
      <c r="AG25" s="269"/>
      <c r="AH25" s="269"/>
      <c r="AI25" s="269"/>
      <c r="AJ25" s="11">
        <f>SUM(E25:AI25)</f>
        <v>0</v>
      </c>
    </row>
    <row r="26" spans="2:36" ht="15.75" thickBot="1">
      <c r="B26" s="338"/>
      <c r="C26" s="336"/>
      <c r="D26" s="271" t="s">
        <v>52</v>
      </c>
      <c r="E26" s="269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  <c r="AF26" s="269"/>
      <c r="AG26" s="269"/>
      <c r="AH26" s="269"/>
      <c r="AI26" s="269"/>
      <c r="AJ26" s="11">
        <f>SUM(E26:AI26)</f>
        <v>0</v>
      </c>
    </row>
    <row r="27" spans="2:36" ht="15.75" thickBot="1">
      <c r="B27" s="338"/>
      <c r="C27" s="336"/>
      <c r="D27" s="16" t="s">
        <v>17</v>
      </c>
      <c r="E27" s="17">
        <f>SUM(E24:E26)</f>
        <v>0</v>
      </c>
      <c r="F27" s="17">
        <f t="shared" ref="F27:AJ27" si="4">SUM(F24:F26)</f>
        <v>0</v>
      </c>
      <c r="G27" s="17">
        <f t="shared" si="4"/>
        <v>0</v>
      </c>
      <c r="H27" s="17">
        <f t="shared" si="4"/>
        <v>0</v>
      </c>
      <c r="I27" s="17">
        <f t="shared" si="4"/>
        <v>0</v>
      </c>
      <c r="J27" s="17">
        <f t="shared" si="4"/>
        <v>0</v>
      </c>
      <c r="K27" s="17">
        <f t="shared" si="4"/>
        <v>0</v>
      </c>
      <c r="L27" s="17">
        <f t="shared" si="4"/>
        <v>0</v>
      </c>
      <c r="M27" s="17">
        <f t="shared" si="4"/>
        <v>0</v>
      </c>
      <c r="N27" s="17">
        <f t="shared" si="4"/>
        <v>0</v>
      </c>
      <c r="O27" s="17">
        <f t="shared" si="4"/>
        <v>0</v>
      </c>
      <c r="P27" s="17">
        <f t="shared" si="4"/>
        <v>0</v>
      </c>
      <c r="Q27" s="17">
        <f t="shared" si="4"/>
        <v>0</v>
      </c>
      <c r="R27" s="17">
        <f t="shared" si="4"/>
        <v>0</v>
      </c>
      <c r="S27" s="17">
        <f t="shared" si="4"/>
        <v>0</v>
      </c>
      <c r="T27" s="17">
        <f t="shared" si="4"/>
        <v>0</v>
      </c>
      <c r="U27" s="17">
        <f t="shared" si="4"/>
        <v>0</v>
      </c>
      <c r="V27" s="17">
        <f t="shared" si="4"/>
        <v>0</v>
      </c>
      <c r="W27" s="17">
        <f t="shared" si="4"/>
        <v>0</v>
      </c>
      <c r="X27" s="17">
        <f t="shared" si="4"/>
        <v>0</v>
      </c>
      <c r="Y27" s="17">
        <f t="shared" si="4"/>
        <v>0</v>
      </c>
      <c r="Z27" s="17">
        <f t="shared" si="4"/>
        <v>0</v>
      </c>
      <c r="AA27" s="17">
        <f t="shared" si="4"/>
        <v>0</v>
      </c>
      <c r="AB27" s="17">
        <f t="shared" si="4"/>
        <v>0</v>
      </c>
      <c r="AC27" s="17">
        <f t="shared" si="4"/>
        <v>0</v>
      </c>
      <c r="AD27" s="17">
        <f t="shared" si="4"/>
        <v>0</v>
      </c>
      <c r="AE27" s="17">
        <f t="shared" si="4"/>
        <v>0</v>
      </c>
      <c r="AF27" s="17">
        <f t="shared" si="4"/>
        <v>0</v>
      </c>
      <c r="AG27" s="17">
        <f t="shared" si="4"/>
        <v>0</v>
      </c>
      <c r="AH27" s="17">
        <f t="shared" si="4"/>
        <v>0</v>
      </c>
      <c r="AI27" s="17">
        <f t="shared" si="4"/>
        <v>0</v>
      </c>
      <c r="AJ27" s="17">
        <f t="shared" si="4"/>
        <v>0</v>
      </c>
    </row>
    <row r="28" spans="2:36" ht="15.75" thickBot="1">
      <c r="B28" s="338"/>
      <c r="C28" s="336" t="s">
        <v>45</v>
      </c>
      <c r="D28" s="271" t="s">
        <v>79</v>
      </c>
      <c r="E28" s="269"/>
      <c r="F28" s="270"/>
      <c r="G28" s="270"/>
      <c r="H28" s="270"/>
      <c r="I28" s="270"/>
      <c r="J28" s="270"/>
      <c r="K28" s="270"/>
      <c r="L28" s="270"/>
      <c r="M28" s="270"/>
      <c r="N28" s="270"/>
      <c r="O28" s="270"/>
      <c r="P28" s="270"/>
      <c r="Q28" s="270"/>
      <c r="R28" s="270"/>
      <c r="S28" s="270"/>
      <c r="T28" s="270"/>
      <c r="U28" s="270"/>
      <c r="V28" s="270"/>
      <c r="W28" s="270"/>
      <c r="X28" s="270"/>
      <c r="Y28" s="270"/>
      <c r="Z28" s="270"/>
      <c r="AA28" s="270"/>
      <c r="AB28" s="270"/>
      <c r="AC28" s="270"/>
      <c r="AD28" s="270"/>
      <c r="AE28" s="270"/>
      <c r="AF28" s="270"/>
      <c r="AG28" s="270"/>
      <c r="AH28" s="270"/>
      <c r="AI28" s="270"/>
      <c r="AJ28" s="11">
        <f>SUM(E28:AI28)</f>
        <v>0</v>
      </c>
    </row>
    <row r="29" spans="2:36" ht="15.75" thickBot="1">
      <c r="B29" s="338"/>
      <c r="C29" s="336"/>
      <c r="D29" s="271" t="s">
        <v>78</v>
      </c>
      <c r="E29" s="269"/>
      <c r="F29" s="270"/>
      <c r="G29" s="270"/>
      <c r="H29" s="270"/>
      <c r="I29" s="270"/>
      <c r="J29" s="270"/>
      <c r="K29" s="270"/>
      <c r="L29" s="270"/>
      <c r="M29" s="270"/>
      <c r="N29" s="270"/>
      <c r="O29" s="270"/>
      <c r="P29" s="270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11">
        <f>SUM(E29:AI29)</f>
        <v>0</v>
      </c>
    </row>
    <row r="30" spans="2:36" ht="15.75" thickBot="1">
      <c r="B30" s="338"/>
      <c r="C30" s="336"/>
      <c r="D30" s="271" t="s">
        <v>48</v>
      </c>
      <c r="E30" s="269"/>
      <c r="F30" s="270"/>
      <c r="G30" s="270"/>
      <c r="H30" s="270"/>
      <c r="I30" s="270"/>
      <c r="J30" s="270"/>
      <c r="K30" s="270"/>
      <c r="L30" s="270"/>
      <c r="M30" s="270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11">
        <f>SUM(E30:AI30)</f>
        <v>0</v>
      </c>
    </row>
    <row r="31" spans="2:36" ht="15.75" thickBot="1">
      <c r="B31" s="338"/>
      <c r="C31" s="336"/>
      <c r="D31" s="271" t="s">
        <v>52</v>
      </c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11">
        <f>SUM(E31:AI31)</f>
        <v>0</v>
      </c>
    </row>
    <row r="32" spans="2:36" ht="15.75" thickBot="1">
      <c r="B32" s="338"/>
      <c r="C32" s="336"/>
      <c r="D32" s="16" t="s">
        <v>17</v>
      </c>
      <c r="E32" s="17">
        <f>SUM(E28:E31)</f>
        <v>0</v>
      </c>
      <c r="F32" s="17">
        <f t="shared" ref="F32:AJ32" si="5">SUM(F28:F31)</f>
        <v>0</v>
      </c>
      <c r="G32" s="17">
        <f t="shared" si="5"/>
        <v>0</v>
      </c>
      <c r="H32" s="17">
        <f t="shared" si="5"/>
        <v>0</v>
      </c>
      <c r="I32" s="17">
        <f t="shared" si="5"/>
        <v>0</v>
      </c>
      <c r="J32" s="17">
        <f t="shared" si="5"/>
        <v>0</v>
      </c>
      <c r="K32" s="17">
        <f t="shared" si="5"/>
        <v>0</v>
      </c>
      <c r="L32" s="17">
        <f t="shared" si="5"/>
        <v>0</v>
      </c>
      <c r="M32" s="17">
        <f t="shared" si="5"/>
        <v>0</v>
      </c>
      <c r="N32" s="17">
        <f t="shared" si="5"/>
        <v>0</v>
      </c>
      <c r="O32" s="17">
        <f t="shared" si="5"/>
        <v>0</v>
      </c>
      <c r="P32" s="17">
        <f t="shared" si="5"/>
        <v>0</v>
      </c>
      <c r="Q32" s="17">
        <f t="shared" si="5"/>
        <v>0</v>
      </c>
      <c r="R32" s="17">
        <f t="shared" si="5"/>
        <v>0</v>
      </c>
      <c r="S32" s="17">
        <f t="shared" si="5"/>
        <v>0</v>
      </c>
      <c r="T32" s="17">
        <f t="shared" si="5"/>
        <v>0</v>
      </c>
      <c r="U32" s="17">
        <f t="shared" si="5"/>
        <v>0</v>
      </c>
      <c r="V32" s="17">
        <f t="shared" si="5"/>
        <v>0</v>
      </c>
      <c r="W32" s="17">
        <f t="shared" si="5"/>
        <v>0</v>
      </c>
      <c r="X32" s="17">
        <f t="shared" si="5"/>
        <v>0</v>
      </c>
      <c r="Y32" s="17">
        <f t="shared" si="5"/>
        <v>0</v>
      </c>
      <c r="Z32" s="17">
        <f t="shared" si="5"/>
        <v>0</v>
      </c>
      <c r="AA32" s="17">
        <f t="shared" si="5"/>
        <v>0</v>
      </c>
      <c r="AB32" s="17">
        <f t="shared" si="5"/>
        <v>0</v>
      </c>
      <c r="AC32" s="17">
        <f t="shared" si="5"/>
        <v>0</v>
      </c>
      <c r="AD32" s="17">
        <f t="shared" si="5"/>
        <v>0</v>
      </c>
      <c r="AE32" s="17">
        <f t="shared" si="5"/>
        <v>0</v>
      </c>
      <c r="AF32" s="17">
        <f t="shared" si="5"/>
        <v>0</v>
      </c>
      <c r="AG32" s="17">
        <f t="shared" si="5"/>
        <v>0</v>
      </c>
      <c r="AH32" s="17">
        <f t="shared" si="5"/>
        <v>0</v>
      </c>
      <c r="AI32" s="17">
        <f t="shared" si="5"/>
        <v>0</v>
      </c>
      <c r="AJ32" s="17">
        <f t="shared" si="5"/>
        <v>0</v>
      </c>
    </row>
    <row r="33" spans="2:36" ht="15.75" thickBot="1">
      <c r="B33" s="338"/>
      <c r="C33" s="336" t="s">
        <v>22</v>
      </c>
      <c r="D33" s="271" t="s">
        <v>34</v>
      </c>
      <c r="E33" s="269"/>
      <c r="F33" s="270"/>
      <c r="G33" s="270"/>
      <c r="H33" s="270"/>
      <c r="I33" s="270"/>
      <c r="J33" s="270"/>
      <c r="K33" s="270"/>
      <c r="L33" s="270"/>
      <c r="M33" s="270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11">
        <f>SUM(E33:AI33)</f>
        <v>0</v>
      </c>
    </row>
    <row r="34" spans="2:36" ht="15.75" thickBot="1">
      <c r="B34" s="338"/>
      <c r="C34" s="336"/>
      <c r="D34" s="271" t="s">
        <v>35</v>
      </c>
      <c r="E34" s="269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11">
        <f>SUM(E34:AI34)</f>
        <v>0</v>
      </c>
    </row>
    <row r="35" spans="2:36" ht="15.75" thickBot="1">
      <c r="B35" s="338"/>
      <c r="C35" s="336"/>
      <c r="D35" s="271" t="s">
        <v>52</v>
      </c>
      <c r="E35" s="269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11">
        <f>SUM(E35:AI35)</f>
        <v>0</v>
      </c>
    </row>
    <row r="36" spans="2:36" ht="15.75" thickBot="1">
      <c r="B36" s="338"/>
      <c r="C36" s="336"/>
      <c r="D36" s="16" t="s">
        <v>17</v>
      </c>
      <c r="E36" s="17">
        <f>SUM(E33:E35)</f>
        <v>0</v>
      </c>
      <c r="F36" s="17">
        <f t="shared" ref="F36:AJ36" si="6">SUM(F33:F35)</f>
        <v>0</v>
      </c>
      <c r="G36" s="17">
        <f t="shared" si="6"/>
        <v>0</v>
      </c>
      <c r="H36" s="17">
        <f t="shared" si="6"/>
        <v>0</v>
      </c>
      <c r="I36" s="17">
        <f t="shared" si="6"/>
        <v>0</v>
      </c>
      <c r="J36" s="17">
        <f t="shared" si="6"/>
        <v>0</v>
      </c>
      <c r="K36" s="17">
        <f t="shared" si="6"/>
        <v>0</v>
      </c>
      <c r="L36" s="17">
        <f t="shared" si="6"/>
        <v>0</v>
      </c>
      <c r="M36" s="17">
        <f t="shared" si="6"/>
        <v>0</v>
      </c>
      <c r="N36" s="17">
        <f t="shared" si="6"/>
        <v>0</v>
      </c>
      <c r="O36" s="17">
        <f t="shared" si="6"/>
        <v>0</v>
      </c>
      <c r="P36" s="17">
        <f t="shared" si="6"/>
        <v>0</v>
      </c>
      <c r="Q36" s="17">
        <f t="shared" si="6"/>
        <v>0</v>
      </c>
      <c r="R36" s="17">
        <f t="shared" si="6"/>
        <v>0</v>
      </c>
      <c r="S36" s="17">
        <f t="shared" si="6"/>
        <v>0</v>
      </c>
      <c r="T36" s="17">
        <f t="shared" si="6"/>
        <v>0</v>
      </c>
      <c r="U36" s="17">
        <f t="shared" si="6"/>
        <v>0</v>
      </c>
      <c r="V36" s="17">
        <f t="shared" si="6"/>
        <v>0</v>
      </c>
      <c r="W36" s="17">
        <f t="shared" si="6"/>
        <v>0</v>
      </c>
      <c r="X36" s="17">
        <f t="shared" si="6"/>
        <v>0</v>
      </c>
      <c r="Y36" s="17">
        <f t="shared" si="6"/>
        <v>0</v>
      </c>
      <c r="Z36" s="17">
        <f t="shared" si="6"/>
        <v>0</v>
      </c>
      <c r="AA36" s="17">
        <f t="shared" si="6"/>
        <v>0</v>
      </c>
      <c r="AB36" s="17">
        <f t="shared" si="6"/>
        <v>0</v>
      </c>
      <c r="AC36" s="17">
        <f t="shared" si="6"/>
        <v>0</v>
      </c>
      <c r="AD36" s="17">
        <f t="shared" si="6"/>
        <v>0</v>
      </c>
      <c r="AE36" s="17">
        <f t="shared" si="6"/>
        <v>0</v>
      </c>
      <c r="AF36" s="17">
        <f t="shared" si="6"/>
        <v>0</v>
      </c>
      <c r="AG36" s="17">
        <f t="shared" si="6"/>
        <v>0</v>
      </c>
      <c r="AH36" s="17">
        <f t="shared" si="6"/>
        <v>0</v>
      </c>
      <c r="AI36" s="17">
        <f t="shared" si="6"/>
        <v>0</v>
      </c>
      <c r="AJ36" s="17">
        <f t="shared" si="6"/>
        <v>0</v>
      </c>
    </row>
    <row r="37" spans="2:36" ht="15.75" thickBot="1">
      <c r="B37" s="338"/>
      <c r="C37" s="336" t="s">
        <v>58</v>
      </c>
      <c r="D37" s="271" t="s">
        <v>91</v>
      </c>
      <c r="E37" s="269"/>
      <c r="F37" s="270"/>
      <c r="G37" s="270"/>
      <c r="H37" s="270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11">
        <f t="shared" ref="AJ37:AJ43" si="7">SUM(E37:AI37)</f>
        <v>0</v>
      </c>
    </row>
    <row r="38" spans="2:36" ht="15.75" thickBot="1">
      <c r="B38" s="338"/>
      <c r="C38" s="336"/>
      <c r="D38" s="271" t="s">
        <v>60</v>
      </c>
      <c r="E38" s="269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  <c r="AC38" s="270"/>
      <c r="AD38" s="270"/>
      <c r="AE38" s="270"/>
      <c r="AF38" s="270"/>
      <c r="AG38" s="270"/>
      <c r="AH38" s="270"/>
      <c r="AI38" s="270"/>
      <c r="AJ38" s="11">
        <f t="shared" si="7"/>
        <v>0</v>
      </c>
    </row>
    <row r="39" spans="2:36" ht="15.75" thickBot="1">
      <c r="B39" s="338"/>
      <c r="C39" s="336"/>
      <c r="D39" s="271" t="s">
        <v>61</v>
      </c>
      <c r="E39" s="269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0"/>
      <c r="AH39" s="270"/>
      <c r="AI39" s="270"/>
      <c r="AJ39" s="11">
        <f t="shared" si="7"/>
        <v>0</v>
      </c>
    </row>
    <row r="40" spans="2:36" ht="15.75" thickBot="1">
      <c r="B40" s="338"/>
      <c r="C40" s="336"/>
      <c r="D40" s="271" t="s">
        <v>62</v>
      </c>
      <c r="E40" s="269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270"/>
      <c r="V40" s="270"/>
      <c r="W40" s="270"/>
      <c r="X40" s="270"/>
      <c r="Y40" s="270"/>
      <c r="Z40" s="270"/>
      <c r="AA40" s="270"/>
      <c r="AB40" s="270"/>
      <c r="AC40" s="270"/>
      <c r="AD40" s="270"/>
      <c r="AE40" s="270"/>
      <c r="AF40" s="270"/>
      <c r="AG40" s="270"/>
      <c r="AH40" s="270"/>
      <c r="AI40" s="270"/>
      <c r="AJ40" s="11">
        <f t="shared" si="7"/>
        <v>0</v>
      </c>
    </row>
    <row r="41" spans="2:36" ht="15.75" thickBot="1">
      <c r="B41" s="338"/>
      <c r="C41" s="336"/>
      <c r="D41" s="271" t="s">
        <v>81</v>
      </c>
      <c r="E41" s="269"/>
      <c r="F41" s="270"/>
      <c r="G41" s="270"/>
      <c r="H41" s="270"/>
      <c r="I41" s="270"/>
      <c r="J41" s="270"/>
      <c r="K41" s="270"/>
      <c r="L41" s="270"/>
      <c r="M41" s="270"/>
      <c r="N41" s="270"/>
      <c r="O41" s="270"/>
      <c r="P41" s="270"/>
      <c r="Q41" s="27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  <c r="AC41" s="270"/>
      <c r="AD41" s="270"/>
      <c r="AE41" s="270"/>
      <c r="AF41" s="270"/>
      <c r="AG41" s="270"/>
      <c r="AH41" s="270"/>
      <c r="AI41" s="270"/>
      <c r="AJ41" s="11">
        <f t="shared" si="7"/>
        <v>0</v>
      </c>
    </row>
    <row r="42" spans="2:36" ht="15.75" thickBot="1">
      <c r="B42" s="338"/>
      <c r="C42" s="336"/>
      <c r="D42" s="271" t="s">
        <v>110</v>
      </c>
      <c r="E42" s="269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11">
        <f t="shared" si="7"/>
        <v>0</v>
      </c>
    </row>
    <row r="43" spans="2:36" ht="15.75" thickBot="1">
      <c r="B43" s="338"/>
      <c r="C43" s="336"/>
      <c r="D43" s="271" t="s">
        <v>52</v>
      </c>
      <c r="E43" s="269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69"/>
      <c r="Q43" s="269"/>
      <c r="R43" s="269"/>
      <c r="S43" s="269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11">
        <f t="shared" si="7"/>
        <v>0</v>
      </c>
    </row>
    <row r="44" spans="2:36" ht="15.75" thickBot="1">
      <c r="B44" s="338"/>
      <c r="C44" s="336"/>
      <c r="D44" s="16" t="s">
        <v>17</v>
      </c>
      <c r="E44" s="17">
        <f>SUM(E37:E43)</f>
        <v>0</v>
      </c>
      <c r="F44" s="17">
        <f t="shared" ref="F44:AJ44" si="8">SUM(F37:F43)</f>
        <v>0</v>
      </c>
      <c r="G44" s="17">
        <f t="shared" si="8"/>
        <v>0</v>
      </c>
      <c r="H44" s="17">
        <f t="shared" si="8"/>
        <v>0</v>
      </c>
      <c r="I44" s="17">
        <f t="shared" si="8"/>
        <v>0</v>
      </c>
      <c r="J44" s="17">
        <f t="shared" si="8"/>
        <v>0</v>
      </c>
      <c r="K44" s="17">
        <f t="shared" si="8"/>
        <v>0</v>
      </c>
      <c r="L44" s="17">
        <f t="shared" si="8"/>
        <v>0</v>
      </c>
      <c r="M44" s="17">
        <f t="shared" si="8"/>
        <v>0</v>
      </c>
      <c r="N44" s="17">
        <f t="shared" si="8"/>
        <v>0</v>
      </c>
      <c r="O44" s="17">
        <f t="shared" si="8"/>
        <v>0</v>
      </c>
      <c r="P44" s="17">
        <f t="shared" si="8"/>
        <v>0</v>
      </c>
      <c r="Q44" s="17">
        <f t="shared" si="8"/>
        <v>0</v>
      </c>
      <c r="R44" s="17">
        <f t="shared" si="8"/>
        <v>0</v>
      </c>
      <c r="S44" s="17">
        <f t="shared" si="8"/>
        <v>0</v>
      </c>
      <c r="T44" s="17">
        <f t="shared" si="8"/>
        <v>0</v>
      </c>
      <c r="U44" s="17">
        <f t="shared" si="8"/>
        <v>0</v>
      </c>
      <c r="V44" s="17">
        <f t="shared" si="8"/>
        <v>0</v>
      </c>
      <c r="W44" s="17">
        <f t="shared" si="8"/>
        <v>0</v>
      </c>
      <c r="X44" s="17">
        <f t="shared" si="8"/>
        <v>0</v>
      </c>
      <c r="Y44" s="17">
        <f t="shared" si="8"/>
        <v>0</v>
      </c>
      <c r="Z44" s="17">
        <f t="shared" si="8"/>
        <v>0</v>
      </c>
      <c r="AA44" s="17">
        <f t="shared" si="8"/>
        <v>0</v>
      </c>
      <c r="AB44" s="17">
        <f t="shared" si="8"/>
        <v>0</v>
      </c>
      <c r="AC44" s="17">
        <f t="shared" si="8"/>
        <v>0</v>
      </c>
      <c r="AD44" s="17">
        <f t="shared" si="8"/>
        <v>0</v>
      </c>
      <c r="AE44" s="17">
        <f t="shared" si="8"/>
        <v>0</v>
      </c>
      <c r="AF44" s="17">
        <f t="shared" si="8"/>
        <v>0</v>
      </c>
      <c r="AG44" s="17">
        <f t="shared" si="8"/>
        <v>0</v>
      </c>
      <c r="AH44" s="17">
        <f t="shared" si="8"/>
        <v>0</v>
      </c>
      <c r="AI44" s="17">
        <f t="shared" si="8"/>
        <v>0</v>
      </c>
      <c r="AJ44" s="17">
        <f t="shared" si="8"/>
        <v>0</v>
      </c>
    </row>
    <row r="45" spans="2:36" ht="15.75" thickBot="1">
      <c r="B45" s="338"/>
      <c r="C45" s="336" t="s">
        <v>36</v>
      </c>
      <c r="D45" s="271" t="s">
        <v>63</v>
      </c>
      <c r="E45" s="269"/>
      <c r="F45" s="270"/>
      <c r="G45" s="270"/>
      <c r="H45" s="270"/>
      <c r="I45" s="270"/>
      <c r="J45" s="270"/>
      <c r="K45" s="270"/>
      <c r="L45" s="270"/>
      <c r="M45" s="270"/>
      <c r="N45" s="270"/>
      <c r="O45" s="270"/>
      <c r="P45" s="270"/>
      <c r="Q45" s="270"/>
      <c r="R45" s="270"/>
      <c r="S45" s="270"/>
      <c r="T45" s="270"/>
      <c r="U45" s="270"/>
      <c r="V45" s="270"/>
      <c r="W45" s="270"/>
      <c r="X45" s="270"/>
      <c r="Y45" s="270"/>
      <c r="Z45" s="270"/>
      <c r="AA45" s="270"/>
      <c r="AB45" s="270"/>
      <c r="AC45" s="270"/>
      <c r="AD45" s="270"/>
      <c r="AE45" s="270"/>
      <c r="AF45" s="270"/>
      <c r="AG45" s="270"/>
      <c r="AH45" s="270"/>
      <c r="AI45" s="270"/>
      <c r="AJ45" s="11">
        <f>SUM(E45:AI45)</f>
        <v>0</v>
      </c>
    </row>
    <row r="46" spans="2:36" ht="15.75" thickBot="1">
      <c r="B46" s="338"/>
      <c r="C46" s="336"/>
      <c r="D46" s="271" t="s">
        <v>64</v>
      </c>
      <c r="E46" s="269"/>
      <c r="F46" s="270"/>
      <c r="G46" s="270"/>
      <c r="H46" s="270"/>
      <c r="I46" s="270"/>
      <c r="J46" s="270"/>
      <c r="K46" s="270"/>
      <c r="L46" s="270"/>
      <c r="M46" s="270"/>
      <c r="N46" s="270"/>
      <c r="O46" s="270"/>
      <c r="P46" s="270"/>
      <c r="Q46" s="270"/>
      <c r="R46" s="270"/>
      <c r="S46" s="270"/>
      <c r="T46" s="270"/>
      <c r="U46" s="270"/>
      <c r="V46" s="270"/>
      <c r="W46" s="270"/>
      <c r="X46" s="270"/>
      <c r="Y46" s="270"/>
      <c r="Z46" s="270"/>
      <c r="AA46" s="270"/>
      <c r="AB46" s="270"/>
      <c r="AC46" s="270"/>
      <c r="AD46" s="270"/>
      <c r="AE46" s="270"/>
      <c r="AF46" s="270"/>
      <c r="AG46" s="270"/>
      <c r="AH46" s="270"/>
      <c r="AI46" s="270"/>
      <c r="AJ46" s="11">
        <f>SUM(E46:AI46)</f>
        <v>0</v>
      </c>
    </row>
    <row r="47" spans="2:36" ht="15.75" thickBot="1">
      <c r="B47" s="338"/>
      <c r="C47" s="336"/>
      <c r="D47" s="271" t="s">
        <v>52</v>
      </c>
      <c r="E47" s="269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69"/>
      <c r="S47" s="269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11">
        <f>SUM(E47:AI47)</f>
        <v>0</v>
      </c>
    </row>
    <row r="48" spans="2:36" ht="15.75" thickBot="1">
      <c r="B48" s="338"/>
      <c r="C48" s="336"/>
      <c r="D48" s="16" t="s">
        <v>17</v>
      </c>
      <c r="E48" s="17">
        <f>SUM(E45:E47)</f>
        <v>0</v>
      </c>
      <c r="F48" s="17">
        <f t="shared" ref="F48:AJ48" si="9">SUM(F45:F47)</f>
        <v>0</v>
      </c>
      <c r="G48" s="17">
        <f t="shared" si="9"/>
        <v>0</v>
      </c>
      <c r="H48" s="17">
        <f t="shared" si="9"/>
        <v>0</v>
      </c>
      <c r="I48" s="17">
        <f t="shared" si="9"/>
        <v>0</v>
      </c>
      <c r="J48" s="17">
        <f t="shared" si="9"/>
        <v>0</v>
      </c>
      <c r="K48" s="17">
        <f t="shared" si="9"/>
        <v>0</v>
      </c>
      <c r="L48" s="17">
        <f t="shared" si="9"/>
        <v>0</v>
      </c>
      <c r="M48" s="17">
        <f t="shared" si="9"/>
        <v>0</v>
      </c>
      <c r="N48" s="17">
        <f t="shared" si="9"/>
        <v>0</v>
      </c>
      <c r="O48" s="17">
        <f t="shared" si="9"/>
        <v>0</v>
      </c>
      <c r="P48" s="17">
        <f t="shared" si="9"/>
        <v>0</v>
      </c>
      <c r="Q48" s="17">
        <f t="shared" si="9"/>
        <v>0</v>
      </c>
      <c r="R48" s="17">
        <f t="shared" si="9"/>
        <v>0</v>
      </c>
      <c r="S48" s="17">
        <f t="shared" si="9"/>
        <v>0</v>
      </c>
      <c r="T48" s="17">
        <f t="shared" si="9"/>
        <v>0</v>
      </c>
      <c r="U48" s="17">
        <f t="shared" si="9"/>
        <v>0</v>
      </c>
      <c r="V48" s="17">
        <f t="shared" si="9"/>
        <v>0</v>
      </c>
      <c r="W48" s="17">
        <f t="shared" si="9"/>
        <v>0</v>
      </c>
      <c r="X48" s="17">
        <f t="shared" si="9"/>
        <v>0</v>
      </c>
      <c r="Y48" s="17">
        <f t="shared" si="9"/>
        <v>0</v>
      </c>
      <c r="Z48" s="17">
        <f t="shared" si="9"/>
        <v>0</v>
      </c>
      <c r="AA48" s="17">
        <f t="shared" si="9"/>
        <v>0</v>
      </c>
      <c r="AB48" s="17">
        <f t="shared" si="9"/>
        <v>0</v>
      </c>
      <c r="AC48" s="17">
        <f t="shared" si="9"/>
        <v>0</v>
      </c>
      <c r="AD48" s="17">
        <f t="shared" si="9"/>
        <v>0</v>
      </c>
      <c r="AE48" s="17">
        <f t="shared" si="9"/>
        <v>0</v>
      </c>
      <c r="AF48" s="17">
        <f t="shared" si="9"/>
        <v>0</v>
      </c>
      <c r="AG48" s="17">
        <f t="shared" si="9"/>
        <v>0</v>
      </c>
      <c r="AH48" s="17">
        <f t="shared" si="9"/>
        <v>0</v>
      </c>
      <c r="AI48" s="17">
        <f t="shared" si="9"/>
        <v>0</v>
      </c>
      <c r="AJ48" s="17">
        <f t="shared" si="9"/>
        <v>0</v>
      </c>
    </row>
    <row r="49" spans="2:36" ht="15.75" thickBot="1">
      <c r="B49" s="338"/>
      <c r="C49" s="336" t="s">
        <v>65</v>
      </c>
      <c r="D49" s="271" t="s">
        <v>66</v>
      </c>
      <c r="E49" s="269"/>
      <c r="F49" s="270"/>
      <c r="G49" s="270"/>
      <c r="H49" s="270"/>
      <c r="I49" s="270"/>
      <c r="J49" s="270"/>
      <c r="K49" s="270"/>
      <c r="L49" s="270"/>
      <c r="M49" s="270"/>
      <c r="N49" s="270"/>
      <c r="O49" s="270"/>
      <c r="P49" s="270"/>
      <c r="Q49" s="270"/>
      <c r="R49" s="270"/>
      <c r="S49" s="270"/>
      <c r="T49" s="270"/>
      <c r="U49" s="270"/>
      <c r="V49" s="270"/>
      <c r="W49" s="270"/>
      <c r="X49" s="270"/>
      <c r="Y49" s="270"/>
      <c r="Z49" s="270"/>
      <c r="AA49" s="270"/>
      <c r="AB49" s="270"/>
      <c r="AC49" s="270"/>
      <c r="AD49" s="270"/>
      <c r="AE49" s="270"/>
      <c r="AF49" s="270"/>
      <c r="AG49" s="270"/>
      <c r="AH49" s="270"/>
      <c r="AI49" s="270"/>
      <c r="AJ49" s="11">
        <f>SUM(E49:AI49)</f>
        <v>0</v>
      </c>
    </row>
    <row r="50" spans="2:36" ht="15.75" thickBot="1">
      <c r="B50" s="338"/>
      <c r="C50" s="336"/>
      <c r="D50" s="271" t="s">
        <v>67</v>
      </c>
      <c r="E50" s="269"/>
      <c r="F50" s="270"/>
      <c r="G50" s="270"/>
      <c r="H50" s="270"/>
      <c r="I50" s="270"/>
      <c r="J50" s="270"/>
      <c r="K50" s="270"/>
      <c r="L50" s="270"/>
      <c r="M50" s="270"/>
      <c r="N50" s="270"/>
      <c r="O50" s="270"/>
      <c r="P50" s="270"/>
      <c r="Q50" s="270"/>
      <c r="R50" s="270"/>
      <c r="S50" s="270"/>
      <c r="T50" s="270"/>
      <c r="U50" s="270"/>
      <c r="V50" s="270"/>
      <c r="W50" s="270"/>
      <c r="X50" s="270"/>
      <c r="Y50" s="270"/>
      <c r="Z50" s="270"/>
      <c r="AA50" s="270"/>
      <c r="AB50" s="270"/>
      <c r="AC50" s="270"/>
      <c r="AD50" s="270"/>
      <c r="AE50" s="270"/>
      <c r="AF50" s="270"/>
      <c r="AG50" s="270"/>
      <c r="AH50" s="270"/>
      <c r="AI50" s="270"/>
      <c r="AJ50" s="11">
        <f>SUM(E50:AI50)</f>
        <v>0</v>
      </c>
    </row>
    <row r="51" spans="2:36" ht="15.75" thickBot="1">
      <c r="B51" s="338"/>
      <c r="C51" s="336"/>
      <c r="D51" s="271" t="s">
        <v>52</v>
      </c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69"/>
      <c r="Q51" s="269"/>
      <c r="R51" s="269"/>
      <c r="S51" s="269"/>
      <c r="T51" s="269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11">
        <f>SUM(E51:AI51)</f>
        <v>0</v>
      </c>
    </row>
    <row r="52" spans="2:36" ht="15.75" thickBot="1">
      <c r="B52" s="338"/>
      <c r="C52" s="336"/>
      <c r="D52" s="16" t="s">
        <v>17</v>
      </c>
      <c r="E52" s="17">
        <f>SUM(E49:E51)</f>
        <v>0</v>
      </c>
      <c r="F52" s="17">
        <f t="shared" ref="F52:AJ52" si="10">SUM(F49:F51)</f>
        <v>0</v>
      </c>
      <c r="G52" s="17">
        <f t="shared" si="10"/>
        <v>0</v>
      </c>
      <c r="H52" s="17">
        <f t="shared" si="10"/>
        <v>0</v>
      </c>
      <c r="I52" s="17">
        <f t="shared" si="10"/>
        <v>0</v>
      </c>
      <c r="J52" s="17">
        <f t="shared" si="10"/>
        <v>0</v>
      </c>
      <c r="K52" s="17">
        <f t="shared" si="10"/>
        <v>0</v>
      </c>
      <c r="L52" s="17">
        <f t="shared" si="10"/>
        <v>0</v>
      </c>
      <c r="M52" s="17">
        <f t="shared" si="10"/>
        <v>0</v>
      </c>
      <c r="N52" s="17">
        <f t="shared" si="10"/>
        <v>0</v>
      </c>
      <c r="O52" s="17">
        <f t="shared" si="10"/>
        <v>0</v>
      </c>
      <c r="P52" s="17">
        <f t="shared" si="10"/>
        <v>0</v>
      </c>
      <c r="Q52" s="17">
        <f t="shared" si="10"/>
        <v>0</v>
      </c>
      <c r="R52" s="17">
        <f t="shared" si="10"/>
        <v>0</v>
      </c>
      <c r="S52" s="17">
        <f t="shared" si="10"/>
        <v>0</v>
      </c>
      <c r="T52" s="17">
        <f t="shared" si="10"/>
        <v>0</v>
      </c>
      <c r="U52" s="17">
        <f t="shared" si="10"/>
        <v>0</v>
      </c>
      <c r="V52" s="17">
        <f t="shared" si="10"/>
        <v>0</v>
      </c>
      <c r="W52" s="17">
        <f t="shared" si="10"/>
        <v>0</v>
      </c>
      <c r="X52" s="17">
        <f t="shared" si="10"/>
        <v>0</v>
      </c>
      <c r="Y52" s="17">
        <f t="shared" si="10"/>
        <v>0</v>
      </c>
      <c r="Z52" s="17">
        <f t="shared" si="10"/>
        <v>0</v>
      </c>
      <c r="AA52" s="17">
        <f t="shared" si="10"/>
        <v>0</v>
      </c>
      <c r="AB52" s="17">
        <f t="shared" si="10"/>
        <v>0</v>
      </c>
      <c r="AC52" s="17">
        <f t="shared" si="10"/>
        <v>0</v>
      </c>
      <c r="AD52" s="17">
        <f t="shared" si="10"/>
        <v>0</v>
      </c>
      <c r="AE52" s="17">
        <f t="shared" si="10"/>
        <v>0</v>
      </c>
      <c r="AF52" s="17">
        <f t="shared" si="10"/>
        <v>0</v>
      </c>
      <c r="AG52" s="17">
        <f t="shared" si="10"/>
        <v>0</v>
      </c>
      <c r="AH52" s="17">
        <f t="shared" si="10"/>
        <v>0</v>
      </c>
      <c r="AI52" s="17">
        <f t="shared" si="10"/>
        <v>0</v>
      </c>
      <c r="AJ52" s="17">
        <f t="shared" si="10"/>
        <v>0</v>
      </c>
    </row>
    <row r="53" spans="2:36" ht="15.75" thickBot="1">
      <c r="B53" s="338"/>
      <c r="C53" s="336" t="s">
        <v>68</v>
      </c>
      <c r="D53" s="271" t="s">
        <v>69</v>
      </c>
      <c r="E53" s="269"/>
      <c r="F53" s="270"/>
      <c r="G53" s="270"/>
      <c r="H53" s="270"/>
      <c r="I53" s="270"/>
      <c r="J53" s="270"/>
      <c r="K53" s="270"/>
      <c r="L53" s="270"/>
      <c r="M53" s="270"/>
      <c r="N53" s="270"/>
      <c r="O53" s="270"/>
      <c r="P53" s="270"/>
      <c r="Q53" s="270"/>
      <c r="R53" s="270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  <c r="AC53" s="270"/>
      <c r="AD53" s="270"/>
      <c r="AE53" s="270"/>
      <c r="AF53" s="270"/>
      <c r="AG53" s="270"/>
      <c r="AH53" s="270"/>
      <c r="AI53" s="270"/>
      <c r="AJ53" s="11">
        <f>SUM(E53:AI53)</f>
        <v>0</v>
      </c>
    </row>
    <row r="54" spans="2:36" ht="15.75" thickBot="1">
      <c r="B54" s="338"/>
      <c r="C54" s="336"/>
      <c r="D54" s="271" t="s">
        <v>70</v>
      </c>
      <c r="E54" s="269"/>
      <c r="F54" s="270"/>
      <c r="G54" s="270"/>
      <c r="H54" s="270"/>
      <c r="I54" s="270"/>
      <c r="J54" s="270"/>
      <c r="K54" s="270"/>
      <c r="L54" s="270"/>
      <c r="M54" s="270"/>
      <c r="N54" s="270"/>
      <c r="O54" s="270"/>
      <c r="P54" s="270"/>
      <c r="Q54" s="270"/>
      <c r="R54" s="270"/>
      <c r="S54" s="270"/>
      <c r="T54" s="270"/>
      <c r="U54" s="270"/>
      <c r="V54" s="270"/>
      <c r="W54" s="270"/>
      <c r="X54" s="270"/>
      <c r="Y54" s="270"/>
      <c r="Z54" s="270"/>
      <c r="AA54" s="270"/>
      <c r="AB54" s="270"/>
      <c r="AC54" s="270"/>
      <c r="AD54" s="270"/>
      <c r="AE54" s="270"/>
      <c r="AF54" s="270"/>
      <c r="AG54" s="270"/>
      <c r="AH54" s="270"/>
      <c r="AI54" s="270"/>
      <c r="AJ54" s="11">
        <f>SUM(E54:AI54)</f>
        <v>0</v>
      </c>
    </row>
    <row r="55" spans="2:36" ht="15.75" thickBot="1">
      <c r="B55" s="338"/>
      <c r="C55" s="336"/>
      <c r="D55" s="271" t="s">
        <v>71</v>
      </c>
      <c r="E55" s="269"/>
      <c r="F55" s="270"/>
      <c r="G55" s="270"/>
      <c r="H55" s="270"/>
      <c r="I55" s="270"/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T55" s="270"/>
      <c r="U55" s="270"/>
      <c r="V55" s="270"/>
      <c r="W55" s="270"/>
      <c r="X55" s="270"/>
      <c r="Y55" s="270"/>
      <c r="Z55" s="270"/>
      <c r="AA55" s="270"/>
      <c r="AB55" s="270"/>
      <c r="AC55" s="270"/>
      <c r="AD55" s="270"/>
      <c r="AE55" s="270"/>
      <c r="AF55" s="270"/>
      <c r="AG55" s="270"/>
      <c r="AH55" s="270"/>
      <c r="AI55" s="270"/>
      <c r="AJ55" s="11">
        <f>SUM(E55:AI55)</f>
        <v>0</v>
      </c>
    </row>
    <row r="56" spans="2:36" ht="15.75" thickBot="1">
      <c r="B56" s="338"/>
      <c r="C56" s="336"/>
      <c r="D56" s="271" t="s">
        <v>52</v>
      </c>
      <c r="E56" s="269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269"/>
      <c r="Q56" s="269"/>
      <c r="R56" s="269"/>
      <c r="S56" s="269"/>
      <c r="T56" s="269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11">
        <f>SUM(E56:AI56)</f>
        <v>0</v>
      </c>
    </row>
    <row r="57" spans="2:36" ht="15.75" thickBot="1">
      <c r="B57" s="338"/>
      <c r="C57" s="336"/>
      <c r="D57" s="16" t="s">
        <v>17</v>
      </c>
      <c r="E57" s="17">
        <f>SUM(E53:E56)</f>
        <v>0</v>
      </c>
      <c r="F57" s="17">
        <f t="shared" ref="F57:AJ57" si="11">SUM(F53:F56)</f>
        <v>0</v>
      </c>
      <c r="G57" s="17">
        <f t="shared" si="11"/>
        <v>0</v>
      </c>
      <c r="H57" s="17">
        <f t="shared" si="11"/>
        <v>0</v>
      </c>
      <c r="I57" s="17">
        <f t="shared" si="11"/>
        <v>0</v>
      </c>
      <c r="J57" s="17">
        <f t="shared" si="11"/>
        <v>0</v>
      </c>
      <c r="K57" s="17">
        <f t="shared" si="11"/>
        <v>0</v>
      </c>
      <c r="L57" s="17">
        <f t="shared" si="11"/>
        <v>0</v>
      </c>
      <c r="M57" s="17">
        <f t="shared" si="11"/>
        <v>0</v>
      </c>
      <c r="N57" s="17">
        <f t="shared" si="11"/>
        <v>0</v>
      </c>
      <c r="O57" s="17">
        <f t="shared" si="11"/>
        <v>0</v>
      </c>
      <c r="P57" s="17">
        <f t="shared" si="11"/>
        <v>0</v>
      </c>
      <c r="Q57" s="17">
        <f t="shared" si="11"/>
        <v>0</v>
      </c>
      <c r="R57" s="17">
        <f t="shared" si="11"/>
        <v>0</v>
      </c>
      <c r="S57" s="17">
        <f t="shared" si="11"/>
        <v>0</v>
      </c>
      <c r="T57" s="17">
        <f t="shared" si="11"/>
        <v>0</v>
      </c>
      <c r="U57" s="17">
        <f t="shared" si="11"/>
        <v>0</v>
      </c>
      <c r="V57" s="17">
        <f t="shared" si="11"/>
        <v>0</v>
      </c>
      <c r="W57" s="17">
        <f t="shared" si="11"/>
        <v>0</v>
      </c>
      <c r="X57" s="17">
        <f t="shared" si="11"/>
        <v>0</v>
      </c>
      <c r="Y57" s="17">
        <f t="shared" si="11"/>
        <v>0</v>
      </c>
      <c r="Z57" s="17">
        <f t="shared" si="11"/>
        <v>0</v>
      </c>
      <c r="AA57" s="17">
        <f t="shared" si="11"/>
        <v>0</v>
      </c>
      <c r="AB57" s="17">
        <f t="shared" si="11"/>
        <v>0</v>
      </c>
      <c r="AC57" s="17">
        <f t="shared" si="11"/>
        <v>0</v>
      </c>
      <c r="AD57" s="17">
        <f t="shared" si="11"/>
        <v>0</v>
      </c>
      <c r="AE57" s="17">
        <f t="shared" si="11"/>
        <v>0</v>
      </c>
      <c r="AF57" s="17">
        <f t="shared" si="11"/>
        <v>0</v>
      </c>
      <c r="AG57" s="17">
        <f t="shared" si="11"/>
        <v>0</v>
      </c>
      <c r="AH57" s="17">
        <f t="shared" si="11"/>
        <v>0</v>
      </c>
      <c r="AI57" s="17">
        <f t="shared" si="11"/>
        <v>0</v>
      </c>
      <c r="AJ57" s="17">
        <f t="shared" si="11"/>
        <v>0</v>
      </c>
    </row>
    <row r="58" spans="2:36" ht="15.75" thickBot="1">
      <c r="B58" s="338"/>
      <c r="C58" s="336" t="s">
        <v>107</v>
      </c>
      <c r="D58" s="275" t="s">
        <v>88</v>
      </c>
      <c r="E58" s="269"/>
      <c r="F58" s="270"/>
      <c r="G58" s="270"/>
      <c r="H58" s="270"/>
      <c r="I58" s="270"/>
      <c r="J58" s="270"/>
      <c r="K58" s="270"/>
      <c r="L58" s="270"/>
      <c r="M58" s="270"/>
      <c r="N58" s="270"/>
      <c r="O58" s="270"/>
      <c r="P58" s="270"/>
      <c r="Q58" s="270"/>
      <c r="R58" s="270"/>
      <c r="S58" s="270"/>
      <c r="T58" s="270"/>
      <c r="U58" s="270"/>
      <c r="V58" s="270"/>
      <c r="W58" s="270"/>
      <c r="X58" s="270"/>
      <c r="Y58" s="270"/>
      <c r="Z58" s="270"/>
      <c r="AA58" s="270"/>
      <c r="AB58" s="270"/>
      <c r="AC58" s="270"/>
      <c r="AD58" s="270"/>
      <c r="AE58" s="270"/>
      <c r="AF58" s="270"/>
      <c r="AG58" s="270"/>
      <c r="AH58" s="270"/>
      <c r="AI58" s="270"/>
      <c r="AJ58" s="11">
        <f>SUM(E58:AI58)</f>
        <v>0</v>
      </c>
    </row>
    <row r="59" spans="2:36" ht="15.75" thickBot="1">
      <c r="B59" s="338"/>
      <c r="C59" s="336"/>
      <c r="D59" s="275" t="s">
        <v>89</v>
      </c>
      <c r="E59" s="269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  <c r="AC59" s="270"/>
      <c r="AD59" s="270"/>
      <c r="AE59" s="270"/>
      <c r="AF59" s="270"/>
      <c r="AG59" s="270"/>
      <c r="AH59" s="270"/>
      <c r="AI59" s="270"/>
      <c r="AJ59" s="11">
        <f>SUM(E59:AI59)</f>
        <v>0</v>
      </c>
    </row>
    <row r="60" spans="2:36" ht="15.75" thickBot="1">
      <c r="B60" s="338"/>
      <c r="C60" s="336"/>
      <c r="D60" s="275" t="s">
        <v>52</v>
      </c>
      <c r="E60" s="269"/>
      <c r="F60" s="269"/>
      <c r="G60" s="269"/>
      <c r="H60" s="269"/>
      <c r="I60" s="269"/>
      <c r="J60" s="269"/>
      <c r="K60" s="269"/>
      <c r="L60" s="269"/>
      <c r="M60" s="269"/>
      <c r="N60" s="269"/>
      <c r="O60" s="269"/>
      <c r="P60" s="269"/>
      <c r="Q60" s="269"/>
      <c r="R60" s="269"/>
      <c r="S60" s="269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11">
        <f>SUM(E60:AI60)</f>
        <v>0</v>
      </c>
    </row>
    <row r="61" spans="2:36" ht="15.75" thickBot="1">
      <c r="B61" s="338"/>
      <c r="C61" s="336"/>
      <c r="D61" s="18" t="s">
        <v>17</v>
      </c>
      <c r="E61" s="17">
        <f>SUM(E58:E60)</f>
        <v>0</v>
      </c>
      <c r="F61" s="17">
        <f t="shared" ref="F61:AJ61" si="12">SUM(F58:F60)</f>
        <v>0</v>
      </c>
      <c r="G61" s="17">
        <f t="shared" si="12"/>
        <v>0</v>
      </c>
      <c r="H61" s="17">
        <f t="shared" si="12"/>
        <v>0</v>
      </c>
      <c r="I61" s="17">
        <f t="shared" si="12"/>
        <v>0</v>
      </c>
      <c r="J61" s="17">
        <f t="shared" si="12"/>
        <v>0</v>
      </c>
      <c r="K61" s="17">
        <f t="shared" si="12"/>
        <v>0</v>
      </c>
      <c r="L61" s="17">
        <f t="shared" si="12"/>
        <v>0</v>
      </c>
      <c r="M61" s="17">
        <f t="shared" si="12"/>
        <v>0</v>
      </c>
      <c r="N61" s="17">
        <f t="shared" si="12"/>
        <v>0</v>
      </c>
      <c r="O61" s="17">
        <f t="shared" si="12"/>
        <v>0</v>
      </c>
      <c r="P61" s="17">
        <f t="shared" si="12"/>
        <v>0</v>
      </c>
      <c r="Q61" s="17">
        <f t="shared" si="12"/>
        <v>0</v>
      </c>
      <c r="R61" s="17">
        <f t="shared" si="12"/>
        <v>0</v>
      </c>
      <c r="S61" s="17">
        <f t="shared" si="12"/>
        <v>0</v>
      </c>
      <c r="T61" s="17">
        <f t="shared" si="12"/>
        <v>0</v>
      </c>
      <c r="U61" s="17">
        <f t="shared" si="12"/>
        <v>0</v>
      </c>
      <c r="V61" s="17">
        <f t="shared" si="12"/>
        <v>0</v>
      </c>
      <c r="W61" s="17">
        <f t="shared" si="12"/>
        <v>0</v>
      </c>
      <c r="X61" s="17">
        <f t="shared" si="12"/>
        <v>0</v>
      </c>
      <c r="Y61" s="17">
        <f t="shared" si="12"/>
        <v>0</v>
      </c>
      <c r="Z61" s="17">
        <f t="shared" si="12"/>
        <v>0</v>
      </c>
      <c r="AA61" s="17">
        <f t="shared" si="12"/>
        <v>0</v>
      </c>
      <c r="AB61" s="17">
        <f t="shared" si="12"/>
        <v>0</v>
      </c>
      <c r="AC61" s="17">
        <f t="shared" si="12"/>
        <v>0</v>
      </c>
      <c r="AD61" s="17">
        <f t="shared" si="12"/>
        <v>0</v>
      </c>
      <c r="AE61" s="17">
        <f t="shared" si="12"/>
        <v>0</v>
      </c>
      <c r="AF61" s="17">
        <f t="shared" si="12"/>
        <v>0</v>
      </c>
      <c r="AG61" s="17">
        <f t="shared" si="12"/>
        <v>0</v>
      </c>
      <c r="AH61" s="17">
        <f t="shared" si="12"/>
        <v>0</v>
      </c>
      <c r="AI61" s="17">
        <f t="shared" si="12"/>
        <v>0</v>
      </c>
      <c r="AJ61" s="17">
        <f t="shared" si="12"/>
        <v>0</v>
      </c>
    </row>
    <row r="62" spans="2:36" ht="15.75" thickBot="1">
      <c r="B62" s="338"/>
      <c r="C62" s="336" t="s">
        <v>72</v>
      </c>
      <c r="D62" s="275" t="s">
        <v>73</v>
      </c>
      <c r="E62" s="269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0"/>
      <c r="T62" s="270"/>
      <c r="U62" s="270"/>
      <c r="V62" s="270"/>
      <c r="W62" s="270"/>
      <c r="X62" s="270"/>
      <c r="Y62" s="270"/>
      <c r="Z62" s="270"/>
      <c r="AA62" s="270"/>
      <c r="AB62" s="270"/>
      <c r="AC62" s="270"/>
      <c r="AD62" s="270"/>
      <c r="AE62" s="270"/>
      <c r="AF62" s="270"/>
      <c r="AG62" s="270"/>
      <c r="AH62" s="270"/>
      <c r="AI62" s="270"/>
      <c r="AJ62" s="11">
        <f>SUM(E62:AI62)</f>
        <v>0</v>
      </c>
    </row>
    <row r="63" spans="2:36" ht="15.75" thickBot="1">
      <c r="B63" s="338"/>
      <c r="C63" s="336"/>
      <c r="D63" s="269" t="s">
        <v>56</v>
      </c>
      <c r="E63" s="270"/>
      <c r="F63" s="270"/>
      <c r="G63" s="270"/>
      <c r="H63" s="270"/>
      <c r="I63" s="270"/>
      <c r="J63" s="270"/>
      <c r="K63" s="270"/>
      <c r="L63" s="270"/>
      <c r="M63" s="270"/>
      <c r="N63" s="270"/>
      <c r="O63" s="270"/>
      <c r="P63" s="270"/>
      <c r="Q63" s="270"/>
      <c r="R63" s="270"/>
      <c r="S63" s="270"/>
      <c r="T63" s="270"/>
      <c r="U63" s="270"/>
      <c r="V63" s="270"/>
      <c r="W63" s="270"/>
      <c r="X63" s="270"/>
      <c r="Y63" s="270"/>
      <c r="Z63" s="270"/>
      <c r="AA63" s="270"/>
      <c r="AB63" s="270"/>
      <c r="AC63" s="270"/>
      <c r="AD63" s="270"/>
      <c r="AE63" s="270"/>
      <c r="AF63" s="270"/>
      <c r="AG63" s="270"/>
      <c r="AH63" s="270"/>
      <c r="AI63" s="270"/>
      <c r="AJ63" s="11">
        <f>SUM(E63:AI63)</f>
        <v>0</v>
      </c>
    </row>
    <row r="64" spans="2:36" ht="15.75" thickBot="1">
      <c r="B64" s="338"/>
      <c r="C64" s="336"/>
      <c r="D64" s="269" t="s">
        <v>52</v>
      </c>
      <c r="E64" s="270"/>
      <c r="F64" s="270"/>
      <c r="G64" s="270"/>
      <c r="H64" s="270"/>
      <c r="I64" s="270"/>
      <c r="J64" s="270"/>
      <c r="K64" s="270"/>
      <c r="L64" s="270"/>
      <c r="M64" s="270"/>
      <c r="N64" s="270"/>
      <c r="O64" s="270"/>
      <c r="P64" s="270"/>
      <c r="Q64" s="270"/>
      <c r="R64" s="270"/>
      <c r="S64" s="270"/>
      <c r="T64" s="270"/>
      <c r="U64" s="270"/>
      <c r="V64" s="270"/>
      <c r="W64" s="270"/>
      <c r="X64" s="270"/>
      <c r="Y64" s="270"/>
      <c r="Z64" s="270"/>
      <c r="AA64" s="270"/>
      <c r="AB64" s="270"/>
      <c r="AC64" s="270"/>
      <c r="AD64" s="270"/>
      <c r="AE64" s="270"/>
      <c r="AF64" s="270"/>
      <c r="AG64" s="270"/>
      <c r="AH64" s="270"/>
      <c r="AI64" s="270"/>
      <c r="AJ64" s="11">
        <f>SUM(E64:AI64)</f>
        <v>0</v>
      </c>
    </row>
    <row r="65" spans="2:36" ht="15.75" thickBot="1">
      <c r="B65" s="338"/>
      <c r="C65" s="336"/>
      <c r="D65" s="17" t="s">
        <v>17</v>
      </c>
      <c r="E65" s="19">
        <f>SUM(E62:E64)</f>
        <v>0</v>
      </c>
      <c r="F65" s="19">
        <f t="shared" ref="F65:AJ65" si="13">SUM(F62:F64)</f>
        <v>0</v>
      </c>
      <c r="G65" s="19">
        <f>SUM(G62:G64)</f>
        <v>0</v>
      </c>
      <c r="H65" s="19">
        <f t="shared" si="13"/>
        <v>0</v>
      </c>
      <c r="I65" s="19">
        <f t="shared" si="13"/>
        <v>0</v>
      </c>
      <c r="J65" s="19">
        <f t="shared" si="13"/>
        <v>0</v>
      </c>
      <c r="K65" s="19">
        <f t="shared" si="13"/>
        <v>0</v>
      </c>
      <c r="L65" s="19">
        <f t="shared" si="13"/>
        <v>0</v>
      </c>
      <c r="M65" s="19">
        <f t="shared" si="13"/>
        <v>0</v>
      </c>
      <c r="N65" s="19">
        <f t="shared" si="13"/>
        <v>0</v>
      </c>
      <c r="O65" s="19">
        <f t="shared" si="13"/>
        <v>0</v>
      </c>
      <c r="P65" s="19">
        <f t="shared" si="13"/>
        <v>0</v>
      </c>
      <c r="Q65" s="19">
        <f t="shared" si="13"/>
        <v>0</v>
      </c>
      <c r="R65" s="19">
        <f t="shared" si="13"/>
        <v>0</v>
      </c>
      <c r="S65" s="19">
        <f t="shared" si="13"/>
        <v>0</v>
      </c>
      <c r="T65" s="19">
        <f t="shared" si="13"/>
        <v>0</v>
      </c>
      <c r="U65" s="19">
        <f t="shared" si="13"/>
        <v>0</v>
      </c>
      <c r="V65" s="19">
        <f t="shared" si="13"/>
        <v>0</v>
      </c>
      <c r="W65" s="19">
        <f t="shared" si="13"/>
        <v>0</v>
      </c>
      <c r="X65" s="19">
        <f t="shared" si="13"/>
        <v>0</v>
      </c>
      <c r="Y65" s="19">
        <f t="shared" si="13"/>
        <v>0</v>
      </c>
      <c r="Z65" s="19">
        <f t="shared" si="13"/>
        <v>0</v>
      </c>
      <c r="AA65" s="19">
        <f t="shared" si="13"/>
        <v>0</v>
      </c>
      <c r="AB65" s="19">
        <f t="shared" si="13"/>
        <v>0</v>
      </c>
      <c r="AC65" s="19">
        <f t="shared" si="13"/>
        <v>0</v>
      </c>
      <c r="AD65" s="19">
        <f t="shared" si="13"/>
        <v>0</v>
      </c>
      <c r="AE65" s="19">
        <f t="shared" si="13"/>
        <v>0</v>
      </c>
      <c r="AF65" s="19">
        <f t="shared" si="13"/>
        <v>0</v>
      </c>
      <c r="AG65" s="19">
        <f t="shared" si="13"/>
        <v>0</v>
      </c>
      <c r="AH65" s="19">
        <f t="shared" si="13"/>
        <v>0</v>
      </c>
      <c r="AI65" s="19">
        <f t="shared" si="13"/>
        <v>0</v>
      </c>
      <c r="AJ65" s="19">
        <f t="shared" si="13"/>
        <v>0</v>
      </c>
    </row>
    <row r="66" spans="2:36">
      <c r="B66" s="5"/>
      <c r="C66" s="5"/>
      <c r="D66" s="14" t="s">
        <v>104</v>
      </c>
      <c r="E66" s="14">
        <f t="shared" ref="E66:AI66" si="14">SUM(E13,E23,E27,E32,E36,E44,E48,E52,E57,E61,E65)</f>
        <v>0</v>
      </c>
      <c r="F66" s="14">
        <f t="shared" si="14"/>
        <v>0</v>
      </c>
      <c r="G66" s="14">
        <f t="shared" si="14"/>
        <v>0</v>
      </c>
      <c r="H66" s="14">
        <f t="shared" si="14"/>
        <v>0</v>
      </c>
      <c r="I66" s="14">
        <f t="shared" si="14"/>
        <v>0</v>
      </c>
      <c r="J66" s="14">
        <f t="shared" si="14"/>
        <v>0</v>
      </c>
      <c r="K66" s="14">
        <f t="shared" si="14"/>
        <v>0</v>
      </c>
      <c r="L66" s="14">
        <f t="shared" si="14"/>
        <v>0</v>
      </c>
      <c r="M66" s="14">
        <f t="shared" si="14"/>
        <v>0</v>
      </c>
      <c r="N66" s="14">
        <f t="shared" si="14"/>
        <v>0</v>
      </c>
      <c r="O66" s="14">
        <f t="shared" si="14"/>
        <v>0</v>
      </c>
      <c r="P66" s="14">
        <f t="shared" si="14"/>
        <v>0</v>
      </c>
      <c r="Q66" s="14">
        <f t="shared" si="14"/>
        <v>0</v>
      </c>
      <c r="R66" s="14">
        <f t="shared" si="14"/>
        <v>0</v>
      </c>
      <c r="S66" s="14">
        <f t="shared" si="14"/>
        <v>0</v>
      </c>
      <c r="T66" s="14">
        <f t="shared" si="14"/>
        <v>0</v>
      </c>
      <c r="U66" s="14">
        <f t="shared" si="14"/>
        <v>0</v>
      </c>
      <c r="V66" s="14">
        <f t="shared" si="14"/>
        <v>0</v>
      </c>
      <c r="W66" s="14">
        <f t="shared" si="14"/>
        <v>0</v>
      </c>
      <c r="X66" s="14">
        <f t="shared" si="14"/>
        <v>0</v>
      </c>
      <c r="Y66" s="14">
        <f t="shared" si="14"/>
        <v>0</v>
      </c>
      <c r="Z66" s="14">
        <f t="shared" si="14"/>
        <v>0</v>
      </c>
      <c r="AA66" s="14">
        <f t="shared" si="14"/>
        <v>0</v>
      </c>
      <c r="AB66" s="14">
        <f t="shared" si="14"/>
        <v>0</v>
      </c>
      <c r="AC66" s="14">
        <f t="shared" si="14"/>
        <v>0</v>
      </c>
      <c r="AD66" s="14">
        <f t="shared" si="14"/>
        <v>0</v>
      </c>
      <c r="AE66" s="14">
        <f t="shared" si="14"/>
        <v>0</v>
      </c>
      <c r="AF66" s="14">
        <f t="shared" si="14"/>
        <v>0</v>
      </c>
      <c r="AG66" s="14">
        <f t="shared" si="14"/>
        <v>0</v>
      </c>
      <c r="AH66" s="14">
        <f t="shared" si="14"/>
        <v>0</v>
      </c>
      <c r="AI66" s="14">
        <f t="shared" si="14"/>
        <v>0</v>
      </c>
      <c r="AJ66" s="27">
        <f>SUM(E66:AI66)</f>
        <v>0</v>
      </c>
    </row>
  </sheetData>
  <mergeCells count="13">
    <mergeCell ref="C62:C65"/>
    <mergeCell ref="B2:AJ2"/>
    <mergeCell ref="B5:B65"/>
    <mergeCell ref="C5:C13"/>
    <mergeCell ref="C14:C23"/>
    <mergeCell ref="C24:C27"/>
    <mergeCell ref="C28:C32"/>
    <mergeCell ref="C33:C36"/>
    <mergeCell ref="C37:C44"/>
    <mergeCell ref="C45:C48"/>
    <mergeCell ref="C49:C52"/>
    <mergeCell ref="C53:C57"/>
    <mergeCell ref="C58:C61"/>
  </mergeCells>
  <conditionalFormatting sqref="E28:AI31 E33:AI35 E37:AI43 E45:AI47 E49:AI51 E53:AI56 E58:AI60 E62:AI64">
    <cfRule type="notContainsBlanks" dxfId="35" priority="3">
      <formula>LEN(TRIM(E28))&gt;0</formula>
    </cfRule>
  </conditionalFormatting>
  <conditionalFormatting sqref="D5:D12 D14:D22 D24:D26 D28:D31 D33:D35 D37:D43 D45:D47 D49:D51 D53:D56 D58:D60 D62:D64">
    <cfRule type="notContainsBlanks" dxfId="34" priority="2">
      <formula>LEN(TRIM(D5))&gt;0</formula>
    </cfRule>
  </conditionalFormatting>
  <conditionalFormatting sqref="E5:AI12 E14:AI22 E24:AI26">
    <cfRule type="notContainsBlanks" dxfId="33" priority="1">
      <formula>LEN(TRIM(E5))&gt;0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7"/>
  <dimension ref="B1:AJ66"/>
  <sheetViews>
    <sheetView showGridLines="0" showRowColHeaders="0"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2" max="2" width="18.5703125" customWidth="1"/>
    <col min="3" max="3" width="18.28515625" bestFit="1" customWidth="1"/>
    <col min="4" max="4" width="19.7109375" bestFit="1" customWidth="1"/>
    <col min="5" max="35" width="12.5703125" bestFit="1" customWidth="1"/>
    <col min="36" max="36" width="13.5703125" bestFit="1" customWidth="1"/>
  </cols>
  <sheetData>
    <row r="1" spans="2:36" ht="15.75" thickBot="1"/>
    <row r="2" spans="2:36" ht="34.5" customHeight="1" thickBot="1">
      <c r="B2" s="339" t="s">
        <v>1</v>
      </c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  <c r="R2" s="339"/>
      <c r="S2" s="339"/>
      <c r="T2" s="339"/>
      <c r="U2" s="339"/>
      <c r="V2" s="339"/>
      <c r="W2" s="339"/>
      <c r="X2" s="339"/>
      <c r="Y2" s="339"/>
      <c r="Z2" s="339"/>
      <c r="AA2" s="339"/>
      <c r="AB2" s="339"/>
      <c r="AC2" s="339"/>
      <c r="AD2" s="339"/>
      <c r="AE2" s="339"/>
      <c r="AF2" s="339"/>
      <c r="AG2" s="339"/>
      <c r="AH2" s="339"/>
      <c r="AI2" s="339"/>
      <c r="AJ2" s="339"/>
    </row>
    <row r="4" spans="2:36" ht="15.75" thickBot="1">
      <c r="B4" s="4"/>
      <c r="C4" s="5"/>
      <c r="D4" s="12" t="s">
        <v>57</v>
      </c>
      <c r="E4" s="13">
        <v>1</v>
      </c>
      <c r="F4" s="13">
        <v>2</v>
      </c>
      <c r="G4" s="13">
        <v>3</v>
      </c>
      <c r="H4" s="13">
        <v>4</v>
      </c>
      <c r="I4" s="13">
        <v>5</v>
      </c>
      <c r="J4" s="13">
        <v>6</v>
      </c>
      <c r="K4" s="13">
        <v>7</v>
      </c>
      <c r="L4" s="13">
        <v>8</v>
      </c>
      <c r="M4" s="13">
        <v>9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17</v>
      </c>
      <c r="V4" s="13">
        <v>18</v>
      </c>
      <c r="W4" s="13">
        <v>19</v>
      </c>
      <c r="X4" s="13">
        <v>20</v>
      </c>
      <c r="Y4" s="13">
        <v>21</v>
      </c>
      <c r="Z4" s="13">
        <v>22</v>
      </c>
      <c r="AA4" s="13">
        <v>23</v>
      </c>
      <c r="AB4" s="13">
        <v>24</v>
      </c>
      <c r="AC4" s="13">
        <v>25</v>
      </c>
      <c r="AD4" s="13">
        <v>26</v>
      </c>
      <c r="AE4" s="13">
        <v>27</v>
      </c>
      <c r="AF4" s="13">
        <v>28</v>
      </c>
      <c r="AG4" s="13">
        <v>29</v>
      </c>
      <c r="AH4" s="13">
        <v>30</v>
      </c>
      <c r="AI4" s="13">
        <v>31</v>
      </c>
      <c r="AJ4" s="27" t="s">
        <v>103</v>
      </c>
    </row>
    <row r="5" spans="2:36" ht="15.75" thickBot="1">
      <c r="B5" s="338" t="s">
        <v>127</v>
      </c>
      <c r="C5" s="336" t="s">
        <v>25</v>
      </c>
      <c r="D5" s="268" t="s">
        <v>30</v>
      </c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11">
        <f>SUM(E5:AI5)</f>
        <v>0</v>
      </c>
    </row>
    <row r="6" spans="2:36" ht="15.75" thickBot="1">
      <c r="B6" s="338"/>
      <c r="C6" s="336"/>
      <c r="D6" s="271" t="s">
        <v>26</v>
      </c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11">
        <f t="shared" ref="AJ6:AJ64" si="0">SUM(E6:AI6)</f>
        <v>0</v>
      </c>
    </row>
    <row r="7" spans="2:36" ht="15.75" thickBot="1">
      <c r="B7" s="338"/>
      <c r="C7" s="336"/>
      <c r="D7" s="271" t="s">
        <v>29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11">
        <f t="shared" si="0"/>
        <v>0</v>
      </c>
    </row>
    <row r="8" spans="2:36" ht="15.75" thickBot="1">
      <c r="B8" s="338"/>
      <c r="C8" s="336"/>
      <c r="D8" s="271" t="s">
        <v>27</v>
      </c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11">
        <f t="shared" si="0"/>
        <v>0</v>
      </c>
    </row>
    <row r="9" spans="2:36" ht="15.75" thickBot="1">
      <c r="B9" s="338"/>
      <c r="C9" s="336"/>
      <c r="D9" s="271" t="s">
        <v>28</v>
      </c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11">
        <f t="shared" si="0"/>
        <v>0</v>
      </c>
    </row>
    <row r="10" spans="2:36" ht="15.75" thickBot="1">
      <c r="B10" s="338"/>
      <c r="C10" s="336"/>
      <c r="D10" s="272" t="s">
        <v>86</v>
      </c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11">
        <f t="shared" si="0"/>
        <v>0</v>
      </c>
    </row>
    <row r="11" spans="2:36" ht="15.75" thickBot="1">
      <c r="B11" s="338"/>
      <c r="C11" s="336"/>
      <c r="D11" s="272" t="s">
        <v>87</v>
      </c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11">
        <f t="shared" si="0"/>
        <v>0</v>
      </c>
    </row>
    <row r="12" spans="2:36" ht="15.75" thickBot="1">
      <c r="B12" s="338"/>
      <c r="C12" s="336"/>
      <c r="D12" s="272" t="s">
        <v>52</v>
      </c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11">
        <f t="shared" si="0"/>
        <v>0</v>
      </c>
    </row>
    <row r="13" spans="2:36" ht="15.75" thickBot="1">
      <c r="B13" s="338"/>
      <c r="C13" s="336"/>
      <c r="D13" s="20" t="s">
        <v>17</v>
      </c>
      <c r="E13" s="21">
        <f>SUM(E5:E12)</f>
        <v>0</v>
      </c>
      <c r="F13" s="21">
        <f t="shared" ref="F13:AJ13" si="1">SUM(F5:F12)</f>
        <v>0</v>
      </c>
      <c r="G13" s="21">
        <f t="shared" si="1"/>
        <v>0</v>
      </c>
      <c r="H13" s="21">
        <f t="shared" si="1"/>
        <v>0</v>
      </c>
      <c r="I13" s="21">
        <f t="shared" si="1"/>
        <v>0</v>
      </c>
      <c r="J13" s="21">
        <f t="shared" si="1"/>
        <v>0</v>
      </c>
      <c r="K13" s="21">
        <f t="shared" si="1"/>
        <v>0</v>
      </c>
      <c r="L13" s="21">
        <f t="shared" si="1"/>
        <v>0</v>
      </c>
      <c r="M13" s="21">
        <f t="shared" si="1"/>
        <v>0</v>
      </c>
      <c r="N13" s="21">
        <f t="shared" si="1"/>
        <v>0</v>
      </c>
      <c r="O13" s="21">
        <f t="shared" si="1"/>
        <v>0</v>
      </c>
      <c r="P13" s="21">
        <f t="shared" si="1"/>
        <v>0</v>
      </c>
      <c r="Q13" s="21">
        <f t="shared" si="1"/>
        <v>0</v>
      </c>
      <c r="R13" s="21">
        <f t="shared" si="1"/>
        <v>0</v>
      </c>
      <c r="S13" s="21">
        <f t="shared" si="1"/>
        <v>0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21">
        <f t="shared" si="1"/>
        <v>0</v>
      </c>
      <c r="AG13" s="21">
        <f t="shared" si="1"/>
        <v>0</v>
      </c>
      <c r="AH13" s="21">
        <f t="shared" si="1"/>
        <v>0</v>
      </c>
      <c r="AI13" s="21">
        <f t="shared" si="1"/>
        <v>0</v>
      </c>
      <c r="AJ13" s="21">
        <f t="shared" si="1"/>
        <v>0</v>
      </c>
    </row>
    <row r="14" spans="2:36" ht="15.75" thickBot="1">
      <c r="B14" s="338"/>
      <c r="C14" s="336" t="s">
        <v>23</v>
      </c>
      <c r="D14" s="273" t="s">
        <v>31</v>
      </c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11">
        <f t="shared" si="0"/>
        <v>0</v>
      </c>
    </row>
    <row r="15" spans="2:36" ht="15.75" thickBot="1">
      <c r="B15" s="338"/>
      <c r="C15" s="336"/>
      <c r="D15" s="271" t="s">
        <v>32</v>
      </c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11">
        <f t="shared" si="0"/>
        <v>0</v>
      </c>
    </row>
    <row r="16" spans="2:36" ht="15.75" thickBot="1">
      <c r="B16" s="338"/>
      <c r="C16" s="336"/>
      <c r="D16" s="271" t="s">
        <v>33</v>
      </c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11">
        <f t="shared" si="0"/>
        <v>0</v>
      </c>
    </row>
    <row r="17" spans="2:36" ht="15.75" thickBot="1">
      <c r="B17" s="338"/>
      <c r="C17" s="336"/>
      <c r="D17" s="271" t="s">
        <v>54</v>
      </c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  <c r="AJ17" s="11">
        <f t="shared" si="0"/>
        <v>0</v>
      </c>
    </row>
    <row r="18" spans="2:36" ht="15.75" thickBot="1">
      <c r="B18" s="338"/>
      <c r="C18" s="336"/>
      <c r="D18" s="271" t="s">
        <v>55</v>
      </c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  <c r="AJ18" s="11">
        <f t="shared" si="0"/>
        <v>0</v>
      </c>
    </row>
    <row r="19" spans="2:36" ht="15.75" thickBot="1">
      <c r="B19" s="338"/>
      <c r="C19" s="336"/>
      <c r="D19" s="271" t="s">
        <v>38</v>
      </c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  <c r="AF19" s="269"/>
      <c r="AG19" s="269"/>
      <c r="AH19" s="269"/>
      <c r="AI19" s="269"/>
      <c r="AJ19" s="11">
        <f t="shared" si="0"/>
        <v>0</v>
      </c>
    </row>
    <row r="20" spans="2:36" ht="15.75" thickBot="1">
      <c r="B20" s="338"/>
      <c r="C20" s="336"/>
      <c r="D20" s="271" t="s">
        <v>37</v>
      </c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  <c r="AF20" s="269"/>
      <c r="AG20" s="269"/>
      <c r="AH20" s="269"/>
      <c r="AI20" s="269"/>
      <c r="AJ20" s="11">
        <f t="shared" si="0"/>
        <v>0</v>
      </c>
    </row>
    <row r="21" spans="2:36" ht="15.75" thickBot="1">
      <c r="B21" s="338"/>
      <c r="C21" s="336"/>
      <c r="D21" s="271" t="s">
        <v>75</v>
      </c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  <c r="AF21" s="269"/>
      <c r="AG21" s="269"/>
      <c r="AH21" s="269"/>
      <c r="AI21" s="269"/>
      <c r="AJ21" s="11">
        <f t="shared" si="0"/>
        <v>0</v>
      </c>
    </row>
    <row r="22" spans="2:36" ht="15.75" thickBot="1">
      <c r="B22" s="338"/>
      <c r="C22" s="336"/>
      <c r="D22" s="271" t="s">
        <v>52</v>
      </c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  <c r="AF22" s="269"/>
      <c r="AG22" s="269"/>
      <c r="AH22" s="269"/>
      <c r="AI22" s="269"/>
      <c r="AJ22" s="11">
        <f t="shared" si="0"/>
        <v>0</v>
      </c>
    </row>
    <row r="23" spans="2:36" ht="15.75" thickBot="1">
      <c r="B23" s="338"/>
      <c r="C23" s="336"/>
      <c r="D23" s="22" t="s">
        <v>17</v>
      </c>
      <c r="E23" s="21">
        <f>SUM(E14:E22)</f>
        <v>0</v>
      </c>
      <c r="F23" s="21">
        <f t="shared" ref="F23:AJ23" si="2">SUM(F14:F22)</f>
        <v>0</v>
      </c>
      <c r="G23" s="21">
        <f>SUM(G14:G22)</f>
        <v>0</v>
      </c>
      <c r="H23" s="21">
        <f t="shared" si="2"/>
        <v>0</v>
      </c>
      <c r="I23" s="21">
        <f t="shared" si="2"/>
        <v>0</v>
      </c>
      <c r="J23" s="21">
        <f t="shared" si="2"/>
        <v>0</v>
      </c>
      <c r="K23" s="21">
        <f t="shared" si="2"/>
        <v>0</v>
      </c>
      <c r="L23" s="21">
        <f t="shared" si="2"/>
        <v>0</v>
      </c>
      <c r="M23" s="21">
        <f t="shared" si="2"/>
        <v>0</v>
      </c>
      <c r="N23" s="21">
        <f t="shared" si="2"/>
        <v>0</v>
      </c>
      <c r="O23" s="21">
        <f t="shared" si="2"/>
        <v>0</v>
      </c>
      <c r="P23" s="21">
        <f t="shared" si="2"/>
        <v>0</v>
      </c>
      <c r="Q23" s="21">
        <f t="shared" si="2"/>
        <v>0</v>
      </c>
      <c r="R23" s="21">
        <f t="shared" si="2"/>
        <v>0</v>
      </c>
      <c r="S23" s="21">
        <f t="shared" si="2"/>
        <v>0</v>
      </c>
      <c r="T23" s="21">
        <f t="shared" si="2"/>
        <v>0</v>
      </c>
      <c r="U23" s="21">
        <f t="shared" si="2"/>
        <v>0</v>
      </c>
      <c r="V23" s="21">
        <f t="shared" si="2"/>
        <v>0</v>
      </c>
      <c r="W23" s="21">
        <f t="shared" si="2"/>
        <v>0</v>
      </c>
      <c r="X23" s="21">
        <f t="shared" si="2"/>
        <v>0</v>
      </c>
      <c r="Y23" s="21">
        <f t="shared" si="2"/>
        <v>0</v>
      </c>
      <c r="Z23" s="21">
        <f t="shared" si="2"/>
        <v>0</v>
      </c>
      <c r="AA23" s="21">
        <f t="shared" si="2"/>
        <v>0</v>
      </c>
      <c r="AB23" s="21">
        <f t="shared" si="2"/>
        <v>0</v>
      </c>
      <c r="AC23" s="21">
        <f t="shared" si="2"/>
        <v>0</v>
      </c>
      <c r="AD23" s="21">
        <f t="shared" si="2"/>
        <v>0</v>
      </c>
      <c r="AE23" s="21">
        <f t="shared" si="2"/>
        <v>0</v>
      </c>
      <c r="AF23" s="21">
        <f t="shared" si="2"/>
        <v>0</v>
      </c>
      <c r="AG23" s="21">
        <f t="shared" si="2"/>
        <v>0</v>
      </c>
      <c r="AH23" s="21">
        <f t="shared" si="2"/>
        <v>0</v>
      </c>
      <c r="AI23" s="21">
        <f t="shared" si="2"/>
        <v>0</v>
      </c>
      <c r="AJ23" s="21">
        <f t="shared" si="2"/>
        <v>0</v>
      </c>
    </row>
    <row r="24" spans="2:36" ht="15.75" thickBot="1">
      <c r="B24" s="338"/>
      <c r="C24" s="336" t="s">
        <v>39</v>
      </c>
      <c r="D24" s="271" t="s">
        <v>40</v>
      </c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  <c r="AF24" s="269"/>
      <c r="AG24" s="269"/>
      <c r="AH24" s="269"/>
      <c r="AI24" s="269"/>
      <c r="AJ24" s="11">
        <f t="shared" si="0"/>
        <v>0</v>
      </c>
    </row>
    <row r="25" spans="2:36" ht="15.75" thickBot="1">
      <c r="B25" s="338"/>
      <c r="C25" s="336"/>
      <c r="D25" s="271" t="s">
        <v>41</v>
      </c>
      <c r="E25" s="269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  <c r="AF25" s="269"/>
      <c r="AG25" s="269"/>
      <c r="AH25" s="269"/>
      <c r="AI25" s="269"/>
      <c r="AJ25" s="11">
        <f t="shared" si="0"/>
        <v>0</v>
      </c>
    </row>
    <row r="26" spans="2:36" ht="15.75" thickBot="1">
      <c r="B26" s="338"/>
      <c r="C26" s="336"/>
      <c r="D26" s="271" t="s">
        <v>52</v>
      </c>
      <c r="E26" s="269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  <c r="AF26" s="269"/>
      <c r="AG26" s="269"/>
      <c r="AH26" s="269"/>
      <c r="AI26" s="269"/>
      <c r="AJ26" s="11">
        <f t="shared" si="0"/>
        <v>0</v>
      </c>
    </row>
    <row r="27" spans="2:36" ht="15.75" thickBot="1">
      <c r="B27" s="338"/>
      <c r="C27" s="336"/>
      <c r="D27" s="16" t="s">
        <v>17</v>
      </c>
      <c r="E27" s="17">
        <f>SUM(E24:E26)</f>
        <v>0</v>
      </c>
      <c r="F27" s="17">
        <f t="shared" ref="F27:AJ27" si="3">SUM(F24:F26)</f>
        <v>0</v>
      </c>
      <c r="G27" s="17">
        <f t="shared" si="3"/>
        <v>0</v>
      </c>
      <c r="H27" s="17">
        <f t="shared" si="3"/>
        <v>0</v>
      </c>
      <c r="I27" s="17">
        <f t="shared" si="3"/>
        <v>0</v>
      </c>
      <c r="J27" s="17">
        <f t="shared" si="3"/>
        <v>0</v>
      </c>
      <c r="K27" s="17">
        <f t="shared" si="3"/>
        <v>0</v>
      </c>
      <c r="L27" s="17">
        <f t="shared" si="3"/>
        <v>0</v>
      </c>
      <c r="M27" s="17">
        <f t="shared" si="3"/>
        <v>0</v>
      </c>
      <c r="N27" s="17">
        <f t="shared" si="3"/>
        <v>0</v>
      </c>
      <c r="O27" s="17">
        <f t="shared" si="3"/>
        <v>0</v>
      </c>
      <c r="P27" s="17">
        <f t="shared" si="3"/>
        <v>0</v>
      </c>
      <c r="Q27" s="17">
        <f t="shared" si="3"/>
        <v>0</v>
      </c>
      <c r="R27" s="17">
        <f t="shared" si="3"/>
        <v>0</v>
      </c>
      <c r="S27" s="17">
        <f t="shared" si="3"/>
        <v>0</v>
      </c>
      <c r="T27" s="17">
        <f t="shared" si="3"/>
        <v>0</v>
      </c>
      <c r="U27" s="17">
        <f t="shared" si="3"/>
        <v>0</v>
      </c>
      <c r="V27" s="17">
        <f t="shared" si="3"/>
        <v>0</v>
      </c>
      <c r="W27" s="17">
        <f t="shared" si="3"/>
        <v>0</v>
      </c>
      <c r="X27" s="17">
        <f t="shared" si="3"/>
        <v>0</v>
      </c>
      <c r="Y27" s="17">
        <f t="shared" si="3"/>
        <v>0</v>
      </c>
      <c r="Z27" s="17">
        <f t="shared" si="3"/>
        <v>0</v>
      </c>
      <c r="AA27" s="17">
        <f t="shared" si="3"/>
        <v>0</v>
      </c>
      <c r="AB27" s="17">
        <f t="shared" si="3"/>
        <v>0</v>
      </c>
      <c r="AC27" s="17">
        <f t="shared" si="3"/>
        <v>0</v>
      </c>
      <c r="AD27" s="17">
        <f t="shared" si="3"/>
        <v>0</v>
      </c>
      <c r="AE27" s="17">
        <f t="shared" si="3"/>
        <v>0</v>
      </c>
      <c r="AF27" s="17">
        <f t="shared" si="3"/>
        <v>0</v>
      </c>
      <c r="AG27" s="17">
        <f t="shared" si="3"/>
        <v>0</v>
      </c>
      <c r="AH27" s="17">
        <f t="shared" si="3"/>
        <v>0</v>
      </c>
      <c r="AI27" s="17">
        <f t="shared" si="3"/>
        <v>0</v>
      </c>
      <c r="AJ27" s="17">
        <f t="shared" si="3"/>
        <v>0</v>
      </c>
    </row>
    <row r="28" spans="2:36" ht="15.75" thickBot="1">
      <c r="B28" s="338"/>
      <c r="C28" s="336" t="s">
        <v>45</v>
      </c>
      <c r="D28" s="271" t="s">
        <v>79</v>
      </c>
      <c r="E28" s="269"/>
      <c r="F28" s="270"/>
      <c r="G28" s="270"/>
      <c r="H28" s="270"/>
      <c r="I28" s="270"/>
      <c r="J28" s="270"/>
      <c r="K28" s="270"/>
      <c r="L28" s="270"/>
      <c r="M28" s="270"/>
      <c r="N28" s="270"/>
      <c r="O28" s="270"/>
      <c r="P28" s="270"/>
      <c r="Q28" s="270"/>
      <c r="R28" s="270"/>
      <c r="S28" s="270"/>
      <c r="T28" s="270"/>
      <c r="U28" s="270"/>
      <c r="V28" s="270"/>
      <c r="W28" s="270"/>
      <c r="X28" s="270"/>
      <c r="Y28" s="270"/>
      <c r="Z28" s="270"/>
      <c r="AA28" s="270"/>
      <c r="AB28" s="270"/>
      <c r="AC28" s="270"/>
      <c r="AD28" s="270"/>
      <c r="AE28" s="270"/>
      <c r="AF28" s="270"/>
      <c r="AG28" s="270"/>
      <c r="AH28" s="270"/>
      <c r="AI28" s="270"/>
      <c r="AJ28" s="11">
        <f t="shared" si="0"/>
        <v>0</v>
      </c>
    </row>
    <row r="29" spans="2:36" ht="15.75" thickBot="1">
      <c r="B29" s="338"/>
      <c r="C29" s="336"/>
      <c r="D29" s="271" t="s">
        <v>78</v>
      </c>
      <c r="E29" s="269"/>
      <c r="F29" s="270"/>
      <c r="G29" s="270"/>
      <c r="H29" s="270"/>
      <c r="I29" s="270"/>
      <c r="J29" s="270"/>
      <c r="K29" s="270"/>
      <c r="L29" s="270"/>
      <c r="M29" s="270"/>
      <c r="N29" s="270"/>
      <c r="O29" s="270"/>
      <c r="P29" s="270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11">
        <f t="shared" si="0"/>
        <v>0</v>
      </c>
    </row>
    <row r="30" spans="2:36" ht="15.75" thickBot="1">
      <c r="B30" s="338"/>
      <c r="C30" s="336"/>
      <c r="D30" s="271" t="s">
        <v>48</v>
      </c>
      <c r="E30" s="269"/>
      <c r="F30" s="270"/>
      <c r="G30" s="270"/>
      <c r="H30" s="270"/>
      <c r="I30" s="270"/>
      <c r="J30" s="270"/>
      <c r="K30" s="270"/>
      <c r="L30" s="270"/>
      <c r="M30" s="270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11">
        <f t="shared" si="0"/>
        <v>0</v>
      </c>
    </row>
    <row r="31" spans="2:36" ht="15.75" thickBot="1">
      <c r="B31" s="338"/>
      <c r="C31" s="336"/>
      <c r="D31" s="271" t="s">
        <v>52</v>
      </c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11">
        <f t="shared" si="0"/>
        <v>0</v>
      </c>
    </row>
    <row r="32" spans="2:36" ht="15.75" thickBot="1">
      <c r="B32" s="338"/>
      <c r="C32" s="336"/>
      <c r="D32" s="16" t="s">
        <v>17</v>
      </c>
      <c r="E32" s="17">
        <f>SUM(E28:E31)</f>
        <v>0</v>
      </c>
      <c r="F32" s="17">
        <f t="shared" ref="F32:AJ32" si="4">SUM(F28:F31)</f>
        <v>0</v>
      </c>
      <c r="G32" s="17">
        <f t="shared" si="4"/>
        <v>0</v>
      </c>
      <c r="H32" s="17">
        <f t="shared" si="4"/>
        <v>0</v>
      </c>
      <c r="I32" s="17">
        <f t="shared" si="4"/>
        <v>0</v>
      </c>
      <c r="J32" s="17">
        <f t="shared" si="4"/>
        <v>0</v>
      </c>
      <c r="K32" s="17">
        <f t="shared" si="4"/>
        <v>0</v>
      </c>
      <c r="L32" s="17">
        <f t="shared" si="4"/>
        <v>0</v>
      </c>
      <c r="M32" s="17">
        <f t="shared" si="4"/>
        <v>0</v>
      </c>
      <c r="N32" s="17">
        <f t="shared" si="4"/>
        <v>0</v>
      </c>
      <c r="O32" s="17">
        <f t="shared" si="4"/>
        <v>0</v>
      </c>
      <c r="P32" s="17">
        <f t="shared" si="4"/>
        <v>0</v>
      </c>
      <c r="Q32" s="17">
        <f t="shared" si="4"/>
        <v>0</v>
      </c>
      <c r="R32" s="17">
        <f t="shared" si="4"/>
        <v>0</v>
      </c>
      <c r="S32" s="17">
        <f t="shared" si="4"/>
        <v>0</v>
      </c>
      <c r="T32" s="17">
        <f t="shared" si="4"/>
        <v>0</v>
      </c>
      <c r="U32" s="17">
        <f t="shared" si="4"/>
        <v>0</v>
      </c>
      <c r="V32" s="17">
        <f t="shared" si="4"/>
        <v>0</v>
      </c>
      <c r="W32" s="17">
        <f t="shared" si="4"/>
        <v>0</v>
      </c>
      <c r="X32" s="17">
        <f t="shared" si="4"/>
        <v>0</v>
      </c>
      <c r="Y32" s="17">
        <f t="shared" si="4"/>
        <v>0</v>
      </c>
      <c r="Z32" s="17">
        <f t="shared" si="4"/>
        <v>0</v>
      </c>
      <c r="AA32" s="17">
        <f t="shared" si="4"/>
        <v>0</v>
      </c>
      <c r="AB32" s="17">
        <f t="shared" si="4"/>
        <v>0</v>
      </c>
      <c r="AC32" s="17">
        <f t="shared" si="4"/>
        <v>0</v>
      </c>
      <c r="AD32" s="17">
        <f t="shared" si="4"/>
        <v>0</v>
      </c>
      <c r="AE32" s="17">
        <f t="shared" si="4"/>
        <v>0</v>
      </c>
      <c r="AF32" s="17">
        <f t="shared" si="4"/>
        <v>0</v>
      </c>
      <c r="AG32" s="17">
        <f t="shared" si="4"/>
        <v>0</v>
      </c>
      <c r="AH32" s="17">
        <f t="shared" si="4"/>
        <v>0</v>
      </c>
      <c r="AI32" s="17">
        <f t="shared" si="4"/>
        <v>0</v>
      </c>
      <c r="AJ32" s="17">
        <f t="shared" si="4"/>
        <v>0</v>
      </c>
    </row>
    <row r="33" spans="2:36" ht="15.75" thickBot="1">
      <c r="B33" s="338"/>
      <c r="C33" s="336" t="s">
        <v>22</v>
      </c>
      <c r="D33" s="271" t="s">
        <v>34</v>
      </c>
      <c r="E33" s="269"/>
      <c r="F33" s="270"/>
      <c r="G33" s="270"/>
      <c r="H33" s="270"/>
      <c r="I33" s="270"/>
      <c r="J33" s="270"/>
      <c r="K33" s="270"/>
      <c r="L33" s="270"/>
      <c r="M33" s="270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11">
        <f t="shared" si="0"/>
        <v>0</v>
      </c>
    </row>
    <row r="34" spans="2:36" ht="15.75" thickBot="1">
      <c r="B34" s="338"/>
      <c r="C34" s="336"/>
      <c r="D34" s="271" t="s">
        <v>35</v>
      </c>
      <c r="E34" s="269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11">
        <f t="shared" si="0"/>
        <v>0</v>
      </c>
    </row>
    <row r="35" spans="2:36" ht="15.75" thickBot="1">
      <c r="B35" s="338"/>
      <c r="C35" s="336"/>
      <c r="D35" s="271" t="s">
        <v>52</v>
      </c>
      <c r="E35" s="269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11">
        <f t="shared" si="0"/>
        <v>0</v>
      </c>
    </row>
    <row r="36" spans="2:36" ht="15.75" thickBot="1">
      <c r="B36" s="338"/>
      <c r="C36" s="336"/>
      <c r="D36" s="16" t="s">
        <v>17</v>
      </c>
      <c r="E36" s="17">
        <f>SUM(E33:E35)</f>
        <v>0</v>
      </c>
      <c r="F36" s="17">
        <f t="shared" ref="F36:AJ36" si="5">SUM(F33:F35)</f>
        <v>0</v>
      </c>
      <c r="G36" s="17">
        <f t="shared" si="5"/>
        <v>0</v>
      </c>
      <c r="H36" s="17">
        <f t="shared" si="5"/>
        <v>0</v>
      </c>
      <c r="I36" s="17">
        <f t="shared" si="5"/>
        <v>0</v>
      </c>
      <c r="J36" s="17">
        <f t="shared" si="5"/>
        <v>0</v>
      </c>
      <c r="K36" s="17">
        <f t="shared" si="5"/>
        <v>0</v>
      </c>
      <c r="L36" s="17">
        <f t="shared" si="5"/>
        <v>0</v>
      </c>
      <c r="M36" s="17">
        <f t="shared" si="5"/>
        <v>0</v>
      </c>
      <c r="N36" s="17">
        <f t="shared" si="5"/>
        <v>0</v>
      </c>
      <c r="O36" s="17">
        <f t="shared" si="5"/>
        <v>0</v>
      </c>
      <c r="P36" s="17">
        <f t="shared" si="5"/>
        <v>0</v>
      </c>
      <c r="Q36" s="17">
        <f t="shared" si="5"/>
        <v>0</v>
      </c>
      <c r="R36" s="17">
        <f t="shared" si="5"/>
        <v>0</v>
      </c>
      <c r="S36" s="17">
        <f t="shared" si="5"/>
        <v>0</v>
      </c>
      <c r="T36" s="17">
        <f t="shared" si="5"/>
        <v>0</v>
      </c>
      <c r="U36" s="17">
        <f t="shared" si="5"/>
        <v>0</v>
      </c>
      <c r="V36" s="17">
        <f t="shared" si="5"/>
        <v>0</v>
      </c>
      <c r="W36" s="17">
        <f t="shared" si="5"/>
        <v>0</v>
      </c>
      <c r="X36" s="17">
        <f t="shared" si="5"/>
        <v>0</v>
      </c>
      <c r="Y36" s="17">
        <f t="shared" si="5"/>
        <v>0</v>
      </c>
      <c r="Z36" s="17">
        <f t="shared" si="5"/>
        <v>0</v>
      </c>
      <c r="AA36" s="17">
        <f t="shared" si="5"/>
        <v>0</v>
      </c>
      <c r="AB36" s="17">
        <f t="shared" si="5"/>
        <v>0</v>
      </c>
      <c r="AC36" s="17">
        <f t="shared" si="5"/>
        <v>0</v>
      </c>
      <c r="AD36" s="17">
        <f t="shared" si="5"/>
        <v>0</v>
      </c>
      <c r="AE36" s="17">
        <f t="shared" si="5"/>
        <v>0</v>
      </c>
      <c r="AF36" s="17">
        <f t="shared" si="5"/>
        <v>0</v>
      </c>
      <c r="AG36" s="17">
        <f t="shared" si="5"/>
        <v>0</v>
      </c>
      <c r="AH36" s="17">
        <f t="shared" si="5"/>
        <v>0</v>
      </c>
      <c r="AI36" s="17">
        <f t="shared" si="5"/>
        <v>0</v>
      </c>
      <c r="AJ36" s="17">
        <f t="shared" si="5"/>
        <v>0</v>
      </c>
    </row>
    <row r="37" spans="2:36" ht="15.75" thickBot="1">
      <c r="B37" s="338"/>
      <c r="C37" s="336" t="s">
        <v>58</v>
      </c>
      <c r="D37" s="274" t="s">
        <v>91</v>
      </c>
      <c r="E37" s="269"/>
      <c r="F37" s="270"/>
      <c r="G37" s="270"/>
      <c r="H37" s="270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11">
        <f t="shared" si="0"/>
        <v>0</v>
      </c>
    </row>
    <row r="38" spans="2:36" ht="15.75" thickBot="1">
      <c r="B38" s="338"/>
      <c r="C38" s="336"/>
      <c r="D38" s="271" t="s">
        <v>60</v>
      </c>
      <c r="E38" s="269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  <c r="AC38" s="270"/>
      <c r="AD38" s="270"/>
      <c r="AE38" s="270"/>
      <c r="AF38" s="270"/>
      <c r="AG38" s="270"/>
      <c r="AH38" s="270"/>
      <c r="AI38" s="270"/>
      <c r="AJ38" s="11">
        <f t="shared" si="0"/>
        <v>0</v>
      </c>
    </row>
    <row r="39" spans="2:36" ht="15.75" thickBot="1">
      <c r="B39" s="338"/>
      <c r="C39" s="336"/>
      <c r="D39" s="271" t="s">
        <v>61</v>
      </c>
      <c r="E39" s="269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0"/>
      <c r="AH39" s="270"/>
      <c r="AI39" s="270"/>
      <c r="AJ39" s="11">
        <f t="shared" si="0"/>
        <v>0</v>
      </c>
    </row>
    <row r="40" spans="2:36" ht="15.75" thickBot="1">
      <c r="B40" s="338"/>
      <c r="C40" s="336"/>
      <c r="D40" s="271" t="s">
        <v>62</v>
      </c>
      <c r="E40" s="269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270"/>
      <c r="V40" s="270"/>
      <c r="W40" s="270"/>
      <c r="X40" s="270"/>
      <c r="Y40" s="270"/>
      <c r="Z40" s="270"/>
      <c r="AA40" s="270"/>
      <c r="AB40" s="270"/>
      <c r="AC40" s="270"/>
      <c r="AD40" s="270"/>
      <c r="AE40" s="270"/>
      <c r="AF40" s="270"/>
      <c r="AG40" s="270"/>
      <c r="AH40" s="270"/>
      <c r="AI40" s="270"/>
      <c r="AJ40" s="11">
        <f t="shared" si="0"/>
        <v>0</v>
      </c>
    </row>
    <row r="41" spans="2:36" ht="15.75" thickBot="1">
      <c r="B41" s="338"/>
      <c r="C41" s="336"/>
      <c r="D41" s="271" t="s">
        <v>81</v>
      </c>
      <c r="E41" s="269"/>
      <c r="F41" s="270"/>
      <c r="G41" s="270"/>
      <c r="H41" s="270"/>
      <c r="I41" s="270"/>
      <c r="J41" s="270"/>
      <c r="K41" s="270"/>
      <c r="L41" s="270"/>
      <c r="M41" s="270"/>
      <c r="N41" s="270"/>
      <c r="O41" s="270"/>
      <c r="P41" s="270"/>
      <c r="Q41" s="27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  <c r="AC41" s="270"/>
      <c r="AD41" s="270"/>
      <c r="AE41" s="270"/>
      <c r="AF41" s="270"/>
      <c r="AG41" s="270"/>
      <c r="AH41" s="270"/>
      <c r="AI41" s="270"/>
      <c r="AJ41" s="11">
        <f t="shared" si="0"/>
        <v>0</v>
      </c>
    </row>
    <row r="42" spans="2:36" ht="15.75" thickBot="1">
      <c r="B42" s="338"/>
      <c r="C42" s="336"/>
      <c r="D42" s="271" t="s">
        <v>110</v>
      </c>
      <c r="E42" s="269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11">
        <f t="shared" si="0"/>
        <v>0</v>
      </c>
    </row>
    <row r="43" spans="2:36" ht="15.75" thickBot="1">
      <c r="B43" s="338"/>
      <c r="C43" s="336"/>
      <c r="D43" s="271" t="s">
        <v>52</v>
      </c>
      <c r="E43" s="269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69"/>
      <c r="Q43" s="269"/>
      <c r="R43" s="269"/>
      <c r="S43" s="269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11">
        <f t="shared" si="0"/>
        <v>0</v>
      </c>
    </row>
    <row r="44" spans="2:36" ht="15.75" thickBot="1">
      <c r="B44" s="338"/>
      <c r="C44" s="336"/>
      <c r="D44" s="16" t="s">
        <v>17</v>
      </c>
      <c r="E44" s="17">
        <f>SUM(E37:E43)</f>
        <v>0</v>
      </c>
      <c r="F44" s="17">
        <f t="shared" ref="F44:AJ44" si="6">SUM(F37:F43)</f>
        <v>0</v>
      </c>
      <c r="G44" s="17">
        <f t="shared" si="6"/>
        <v>0</v>
      </c>
      <c r="H44" s="17">
        <f t="shared" si="6"/>
        <v>0</v>
      </c>
      <c r="I44" s="17">
        <f t="shared" si="6"/>
        <v>0</v>
      </c>
      <c r="J44" s="17">
        <f t="shared" si="6"/>
        <v>0</v>
      </c>
      <c r="K44" s="17">
        <f t="shared" si="6"/>
        <v>0</v>
      </c>
      <c r="L44" s="17">
        <f t="shared" si="6"/>
        <v>0</v>
      </c>
      <c r="M44" s="17">
        <f t="shared" si="6"/>
        <v>0</v>
      </c>
      <c r="N44" s="17">
        <f t="shared" si="6"/>
        <v>0</v>
      </c>
      <c r="O44" s="17">
        <f t="shared" si="6"/>
        <v>0</v>
      </c>
      <c r="P44" s="17">
        <f t="shared" si="6"/>
        <v>0</v>
      </c>
      <c r="Q44" s="17">
        <f t="shared" si="6"/>
        <v>0</v>
      </c>
      <c r="R44" s="17">
        <f t="shared" si="6"/>
        <v>0</v>
      </c>
      <c r="S44" s="17">
        <f t="shared" si="6"/>
        <v>0</v>
      </c>
      <c r="T44" s="17">
        <f t="shared" si="6"/>
        <v>0</v>
      </c>
      <c r="U44" s="17">
        <f t="shared" si="6"/>
        <v>0</v>
      </c>
      <c r="V44" s="17">
        <f t="shared" si="6"/>
        <v>0</v>
      </c>
      <c r="W44" s="17">
        <f t="shared" si="6"/>
        <v>0</v>
      </c>
      <c r="X44" s="17">
        <f t="shared" si="6"/>
        <v>0</v>
      </c>
      <c r="Y44" s="17">
        <f t="shared" si="6"/>
        <v>0</v>
      </c>
      <c r="Z44" s="17">
        <f t="shared" si="6"/>
        <v>0</v>
      </c>
      <c r="AA44" s="17">
        <f t="shared" si="6"/>
        <v>0</v>
      </c>
      <c r="AB44" s="17">
        <f t="shared" si="6"/>
        <v>0</v>
      </c>
      <c r="AC44" s="17">
        <f t="shared" si="6"/>
        <v>0</v>
      </c>
      <c r="AD44" s="17">
        <f t="shared" si="6"/>
        <v>0</v>
      </c>
      <c r="AE44" s="17">
        <f t="shared" si="6"/>
        <v>0</v>
      </c>
      <c r="AF44" s="17">
        <f t="shared" si="6"/>
        <v>0</v>
      </c>
      <c r="AG44" s="17">
        <f t="shared" si="6"/>
        <v>0</v>
      </c>
      <c r="AH44" s="17">
        <f t="shared" si="6"/>
        <v>0</v>
      </c>
      <c r="AI44" s="17">
        <f t="shared" si="6"/>
        <v>0</v>
      </c>
      <c r="AJ44" s="17">
        <f t="shared" si="6"/>
        <v>0</v>
      </c>
    </row>
    <row r="45" spans="2:36" ht="15.75" thickBot="1">
      <c r="B45" s="338"/>
      <c r="C45" s="336" t="s">
        <v>36</v>
      </c>
      <c r="D45" s="271" t="s">
        <v>63</v>
      </c>
      <c r="E45" s="269"/>
      <c r="F45" s="270"/>
      <c r="G45" s="270"/>
      <c r="H45" s="270"/>
      <c r="I45" s="270"/>
      <c r="J45" s="270"/>
      <c r="K45" s="270"/>
      <c r="L45" s="270"/>
      <c r="M45" s="270"/>
      <c r="N45" s="270"/>
      <c r="O45" s="270"/>
      <c r="P45" s="270"/>
      <c r="Q45" s="270"/>
      <c r="R45" s="270"/>
      <c r="S45" s="270"/>
      <c r="T45" s="270"/>
      <c r="U45" s="270"/>
      <c r="V45" s="270"/>
      <c r="W45" s="270"/>
      <c r="X45" s="270"/>
      <c r="Y45" s="270"/>
      <c r="Z45" s="270"/>
      <c r="AA45" s="270"/>
      <c r="AB45" s="270"/>
      <c r="AC45" s="270"/>
      <c r="AD45" s="270"/>
      <c r="AE45" s="270"/>
      <c r="AF45" s="270"/>
      <c r="AG45" s="270"/>
      <c r="AH45" s="270"/>
      <c r="AI45" s="270"/>
      <c r="AJ45" s="11">
        <f t="shared" si="0"/>
        <v>0</v>
      </c>
    </row>
    <row r="46" spans="2:36" ht="15.75" thickBot="1">
      <c r="B46" s="338"/>
      <c r="C46" s="336"/>
      <c r="D46" s="271" t="s">
        <v>64</v>
      </c>
      <c r="E46" s="269"/>
      <c r="F46" s="270"/>
      <c r="G46" s="270"/>
      <c r="H46" s="270"/>
      <c r="I46" s="270"/>
      <c r="J46" s="270"/>
      <c r="K46" s="270"/>
      <c r="L46" s="270"/>
      <c r="M46" s="270"/>
      <c r="N46" s="270"/>
      <c r="O46" s="270"/>
      <c r="P46" s="270"/>
      <c r="Q46" s="270"/>
      <c r="R46" s="270"/>
      <c r="S46" s="270"/>
      <c r="T46" s="270"/>
      <c r="U46" s="270"/>
      <c r="V46" s="270"/>
      <c r="W46" s="270"/>
      <c r="X46" s="270"/>
      <c r="Y46" s="270"/>
      <c r="Z46" s="270"/>
      <c r="AA46" s="270"/>
      <c r="AB46" s="270"/>
      <c r="AC46" s="270"/>
      <c r="AD46" s="270"/>
      <c r="AE46" s="270"/>
      <c r="AF46" s="270"/>
      <c r="AG46" s="270"/>
      <c r="AH46" s="270"/>
      <c r="AI46" s="270"/>
      <c r="AJ46" s="11">
        <f t="shared" si="0"/>
        <v>0</v>
      </c>
    </row>
    <row r="47" spans="2:36" ht="15.75" thickBot="1">
      <c r="B47" s="338"/>
      <c r="C47" s="336"/>
      <c r="D47" s="271" t="s">
        <v>52</v>
      </c>
      <c r="E47" s="269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69"/>
      <c r="S47" s="269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11">
        <f t="shared" si="0"/>
        <v>0</v>
      </c>
    </row>
    <row r="48" spans="2:36" ht="15.75" thickBot="1">
      <c r="B48" s="338"/>
      <c r="C48" s="336"/>
      <c r="D48" s="16" t="s">
        <v>17</v>
      </c>
      <c r="E48" s="17">
        <f>SUM(E45:E47)</f>
        <v>0</v>
      </c>
      <c r="F48" s="17">
        <f t="shared" ref="F48:AJ48" si="7">SUM(F45:F47)</f>
        <v>0</v>
      </c>
      <c r="G48" s="17">
        <f t="shared" si="7"/>
        <v>0</v>
      </c>
      <c r="H48" s="17">
        <f t="shared" si="7"/>
        <v>0</v>
      </c>
      <c r="I48" s="17">
        <f t="shared" si="7"/>
        <v>0</v>
      </c>
      <c r="J48" s="17">
        <f t="shared" si="7"/>
        <v>0</v>
      </c>
      <c r="K48" s="17">
        <f t="shared" si="7"/>
        <v>0</v>
      </c>
      <c r="L48" s="17">
        <f t="shared" si="7"/>
        <v>0</v>
      </c>
      <c r="M48" s="17">
        <f t="shared" si="7"/>
        <v>0</v>
      </c>
      <c r="N48" s="17">
        <f t="shared" si="7"/>
        <v>0</v>
      </c>
      <c r="O48" s="17">
        <f t="shared" si="7"/>
        <v>0</v>
      </c>
      <c r="P48" s="17">
        <f t="shared" si="7"/>
        <v>0</v>
      </c>
      <c r="Q48" s="17">
        <f t="shared" si="7"/>
        <v>0</v>
      </c>
      <c r="R48" s="17">
        <f t="shared" si="7"/>
        <v>0</v>
      </c>
      <c r="S48" s="17">
        <f t="shared" si="7"/>
        <v>0</v>
      </c>
      <c r="T48" s="17">
        <f t="shared" si="7"/>
        <v>0</v>
      </c>
      <c r="U48" s="17">
        <f t="shared" si="7"/>
        <v>0</v>
      </c>
      <c r="V48" s="17">
        <f t="shared" si="7"/>
        <v>0</v>
      </c>
      <c r="W48" s="17">
        <f t="shared" si="7"/>
        <v>0</v>
      </c>
      <c r="X48" s="17">
        <f t="shared" si="7"/>
        <v>0</v>
      </c>
      <c r="Y48" s="17">
        <f t="shared" si="7"/>
        <v>0</v>
      </c>
      <c r="Z48" s="17">
        <f t="shared" si="7"/>
        <v>0</v>
      </c>
      <c r="AA48" s="17">
        <f t="shared" si="7"/>
        <v>0</v>
      </c>
      <c r="AB48" s="17">
        <f t="shared" si="7"/>
        <v>0</v>
      </c>
      <c r="AC48" s="17">
        <f t="shared" si="7"/>
        <v>0</v>
      </c>
      <c r="AD48" s="17">
        <f t="shared" si="7"/>
        <v>0</v>
      </c>
      <c r="AE48" s="17">
        <f t="shared" si="7"/>
        <v>0</v>
      </c>
      <c r="AF48" s="17">
        <f t="shared" si="7"/>
        <v>0</v>
      </c>
      <c r="AG48" s="17">
        <f t="shared" si="7"/>
        <v>0</v>
      </c>
      <c r="AH48" s="17">
        <f t="shared" si="7"/>
        <v>0</v>
      </c>
      <c r="AI48" s="17">
        <f t="shared" si="7"/>
        <v>0</v>
      </c>
      <c r="AJ48" s="17">
        <f t="shared" si="7"/>
        <v>0</v>
      </c>
    </row>
    <row r="49" spans="2:36" ht="15.75" thickBot="1">
      <c r="B49" s="338"/>
      <c r="C49" s="336" t="s">
        <v>65</v>
      </c>
      <c r="D49" s="271" t="s">
        <v>66</v>
      </c>
      <c r="E49" s="269"/>
      <c r="F49" s="270"/>
      <c r="G49" s="270"/>
      <c r="H49" s="270"/>
      <c r="I49" s="270"/>
      <c r="J49" s="270"/>
      <c r="K49" s="270"/>
      <c r="L49" s="270"/>
      <c r="M49" s="270"/>
      <c r="N49" s="270"/>
      <c r="O49" s="270"/>
      <c r="P49" s="270"/>
      <c r="Q49" s="270"/>
      <c r="R49" s="270"/>
      <c r="S49" s="270"/>
      <c r="T49" s="270"/>
      <c r="U49" s="270"/>
      <c r="V49" s="270"/>
      <c r="W49" s="270"/>
      <c r="X49" s="270"/>
      <c r="Y49" s="270"/>
      <c r="Z49" s="270"/>
      <c r="AA49" s="270"/>
      <c r="AB49" s="270"/>
      <c r="AC49" s="270"/>
      <c r="AD49" s="270"/>
      <c r="AE49" s="270"/>
      <c r="AF49" s="270"/>
      <c r="AG49" s="270"/>
      <c r="AH49" s="270"/>
      <c r="AI49" s="270"/>
      <c r="AJ49" s="11">
        <f t="shared" si="0"/>
        <v>0</v>
      </c>
    </row>
    <row r="50" spans="2:36" ht="15.75" thickBot="1">
      <c r="B50" s="338"/>
      <c r="C50" s="336"/>
      <c r="D50" s="271" t="s">
        <v>67</v>
      </c>
      <c r="E50" s="269"/>
      <c r="F50" s="270"/>
      <c r="G50" s="270"/>
      <c r="H50" s="270"/>
      <c r="I50" s="270"/>
      <c r="J50" s="270"/>
      <c r="K50" s="270"/>
      <c r="L50" s="270"/>
      <c r="M50" s="270"/>
      <c r="N50" s="270"/>
      <c r="O50" s="270"/>
      <c r="P50" s="270"/>
      <c r="Q50" s="270"/>
      <c r="R50" s="270"/>
      <c r="S50" s="270"/>
      <c r="T50" s="270"/>
      <c r="U50" s="270"/>
      <c r="V50" s="270"/>
      <c r="W50" s="270"/>
      <c r="X50" s="270"/>
      <c r="Y50" s="270"/>
      <c r="Z50" s="270"/>
      <c r="AA50" s="270"/>
      <c r="AB50" s="270"/>
      <c r="AC50" s="270"/>
      <c r="AD50" s="270"/>
      <c r="AE50" s="270"/>
      <c r="AF50" s="270"/>
      <c r="AG50" s="270"/>
      <c r="AH50" s="270"/>
      <c r="AI50" s="270"/>
      <c r="AJ50" s="11">
        <f t="shared" si="0"/>
        <v>0</v>
      </c>
    </row>
    <row r="51" spans="2:36" ht="15.75" thickBot="1">
      <c r="B51" s="338"/>
      <c r="C51" s="336"/>
      <c r="D51" s="271" t="s">
        <v>52</v>
      </c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69"/>
      <c r="Q51" s="269"/>
      <c r="R51" s="269"/>
      <c r="S51" s="269"/>
      <c r="T51" s="269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11">
        <f t="shared" si="0"/>
        <v>0</v>
      </c>
    </row>
    <row r="52" spans="2:36" ht="15.75" thickBot="1">
      <c r="B52" s="338"/>
      <c r="C52" s="336"/>
      <c r="D52" s="16" t="s">
        <v>17</v>
      </c>
      <c r="E52" s="17">
        <f>SUM(E49:E51)</f>
        <v>0</v>
      </c>
      <c r="F52" s="17">
        <f t="shared" ref="F52:AJ52" si="8">SUM(F49:F51)</f>
        <v>0</v>
      </c>
      <c r="G52" s="17">
        <f t="shared" si="8"/>
        <v>0</v>
      </c>
      <c r="H52" s="17">
        <f t="shared" si="8"/>
        <v>0</v>
      </c>
      <c r="I52" s="17">
        <f t="shared" si="8"/>
        <v>0</v>
      </c>
      <c r="J52" s="17">
        <f t="shared" si="8"/>
        <v>0</v>
      </c>
      <c r="K52" s="17">
        <f t="shared" si="8"/>
        <v>0</v>
      </c>
      <c r="L52" s="17">
        <f t="shared" si="8"/>
        <v>0</v>
      </c>
      <c r="M52" s="17">
        <f t="shared" si="8"/>
        <v>0</v>
      </c>
      <c r="N52" s="17">
        <f t="shared" si="8"/>
        <v>0</v>
      </c>
      <c r="O52" s="17">
        <f t="shared" si="8"/>
        <v>0</v>
      </c>
      <c r="P52" s="17">
        <f t="shared" si="8"/>
        <v>0</v>
      </c>
      <c r="Q52" s="17">
        <f t="shared" si="8"/>
        <v>0</v>
      </c>
      <c r="R52" s="17">
        <f t="shared" si="8"/>
        <v>0</v>
      </c>
      <c r="S52" s="17">
        <f t="shared" si="8"/>
        <v>0</v>
      </c>
      <c r="T52" s="17">
        <f t="shared" si="8"/>
        <v>0</v>
      </c>
      <c r="U52" s="17">
        <f t="shared" si="8"/>
        <v>0</v>
      </c>
      <c r="V52" s="17">
        <f t="shared" si="8"/>
        <v>0</v>
      </c>
      <c r="W52" s="17">
        <f t="shared" si="8"/>
        <v>0</v>
      </c>
      <c r="X52" s="17">
        <f t="shared" si="8"/>
        <v>0</v>
      </c>
      <c r="Y52" s="17">
        <f t="shared" si="8"/>
        <v>0</v>
      </c>
      <c r="Z52" s="17">
        <f t="shared" si="8"/>
        <v>0</v>
      </c>
      <c r="AA52" s="17">
        <f t="shared" si="8"/>
        <v>0</v>
      </c>
      <c r="AB52" s="17">
        <f t="shared" si="8"/>
        <v>0</v>
      </c>
      <c r="AC52" s="17">
        <f t="shared" si="8"/>
        <v>0</v>
      </c>
      <c r="AD52" s="17">
        <f t="shared" si="8"/>
        <v>0</v>
      </c>
      <c r="AE52" s="17">
        <f t="shared" si="8"/>
        <v>0</v>
      </c>
      <c r="AF52" s="17">
        <f t="shared" si="8"/>
        <v>0</v>
      </c>
      <c r="AG52" s="17">
        <f t="shared" si="8"/>
        <v>0</v>
      </c>
      <c r="AH52" s="17">
        <f t="shared" si="8"/>
        <v>0</v>
      </c>
      <c r="AI52" s="17">
        <f t="shared" si="8"/>
        <v>0</v>
      </c>
      <c r="AJ52" s="17">
        <f t="shared" si="8"/>
        <v>0</v>
      </c>
    </row>
    <row r="53" spans="2:36" ht="15.75" thickBot="1">
      <c r="B53" s="338"/>
      <c r="C53" s="336" t="s">
        <v>68</v>
      </c>
      <c r="D53" s="271" t="s">
        <v>69</v>
      </c>
      <c r="E53" s="269"/>
      <c r="F53" s="270"/>
      <c r="G53" s="270"/>
      <c r="H53" s="270"/>
      <c r="I53" s="270"/>
      <c r="J53" s="270"/>
      <c r="K53" s="270"/>
      <c r="L53" s="270"/>
      <c r="M53" s="270"/>
      <c r="N53" s="270"/>
      <c r="O53" s="270"/>
      <c r="P53" s="270"/>
      <c r="Q53" s="270"/>
      <c r="R53" s="270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  <c r="AC53" s="270"/>
      <c r="AD53" s="270"/>
      <c r="AE53" s="270"/>
      <c r="AF53" s="270"/>
      <c r="AG53" s="270"/>
      <c r="AH53" s="270"/>
      <c r="AI53" s="270"/>
      <c r="AJ53" s="11">
        <f t="shared" si="0"/>
        <v>0</v>
      </c>
    </row>
    <row r="54" spans="2:36" ht="15.75" thickBot="1">
      <c r="B54" s="338"/>
      <c r="C54" s="336"/>
      <c r="D54" s="271" t="s">
        <v>70</v>
      </c>
      <c r="E54" s="269"/>
      <c r="F54" s="270"/>
      <c r="G54" s="270"/>
      <c r="H54" s="270"/>
      <c r="I54" s="270"/>
      <c r="J54" s="270"/>
      <c r="K54" s="270"/>
      <c r="L54" s="270"/>
      <c r="M54" s="270"/>
      <c r="N54" s="270"/>
      <c r="O54" s="270"/>
      <c r="P54" s="270"/>
      <c r="Q54" s="270"/>
      <c r="R54" s="270"/>
      <c r="S54" s="270"/>
      <c r="T54" s="270"/>
      <c r="U54" s="270"/>
      <c r="V54" s="270"/>
      <c r="W54" s="270"/>
      <c r="X54" s="270"/>
      <c r="Y54" s="270"/>
      <c r="Z54" s="270"/>
      <c r="AA54" s="270"/>
      <c r="AB54" s="270"/>
      <c r="AC54" s="270"/>
      <c r="AD54" s="270"/>
      <c r="AE54" s="270"/>
      <c r="AF54" s="270"/>
      <c r="AG54" s="270"/>
      <c r="AH54" s="270"/>
      <c r="AI54" s="270"/>
      <c r="AJ54" s="11">
        <f t="shared" si="0"/>
        <v>0</v>
      </c>
    </row>
    <row r="55" spans="2:36" ht="15.75" thickBot="1">
      <c r="B55" s="338"/>
      <c r="C55" s="336"/>
      <c r="D55" s="271" t="s">
        <v>71</v>
      </c>
      <c r="E55" s="269"/>
      <c r="F55" s="270"/>
      <c r="G55" s="270"/>
      <c r="H55" s="270"/>
      <c r="I55" s="270"/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T55" s="270"/>
      <c r="U55" s="270"/>
      <c r="V55" s="270"/>
      <c r="W55" s="270"/>
      <c r="X55" s="270"/>
      <c r="Y55" s="270"/>
      <c r="Z55" s="270"/>
      <c r="AA55" s="270"/>
      <c r="AB55" s="270"/>
      <c r="AC55" s="270"/>
      <c r="AD55" s="270"/>
      <c r="AE55" s="270"/>
      <c r="AF55" s="270"/>
      <c r="AG55" s="270"/>
      <c r="AH55" s="270"/>
      <c r="AI55" s="270"/>
      <c r="AJ55" s="11">
        <f t="shared" si="0"/>
        <v>0</v>
      </c>
    </row>
    <row r="56" spans="2:36" ht="15.75" thickBot="1">
      <c r="B56" s="338"/>
      <c r="C56" s="336"/>
      <c r="D56" s="271" t="s">
        <v>52</v>
      </c>
      <c r="E56" s="269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269"/>
      <c r="Q56" s="269"/>
      <c r="R56" s="269"/>
      <c r="S56" s="269"/>
      <c r="T56" s="269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11">
        <f t="shared" si="0"/>
        <v>0</v>
      </c>
    </row>
    <row r="57" spans="2:36" ht="15.75" thickBot="1">
      <c r="B57" s="338"/>
      <c r="C57" s="336"/>
      <c r="D57" s="16" t="s">
        <v>17</v>
      </c>
      <c r="E57" s="17">
        <f>SUM(E53:E56)</f>
        <v>0</v>
      </c>
      <c r="F57" s="17">
        <f t="shared" ref="F57:AJ57" si="9">SUM(F53:F56)</f>
        <v>0</v>
      </c>
      <c r="G57" s="17">
        <f t="shared" si="9"/>
        <v>0</v>
      </c>
      <c r="H57" s="17">
        <f t="shared" si="9"/>
        <v>0</v>
      </c>
      <c r="I57" s="17">
        <f t="shared" si="9"/>
        <v>0</v>
      </c>
      <c r="J57" s="17">
        <f t="shared" si="9"/>
        <v>0</v>
      </c>
      <c r="K57" s="17">
        <f t="shared" si="9"/>
        <v>0</v>
      </c>
      <c r="L57" s="17">
        <f t="shared" si="9"/>
        <v>0</v>
      </c>
      <c r="M57" s="17">
        <f t="shared" si="9"/>
        <v>0</v>
      </c>
      <c r="N57" s="17">
        <f t="shared" si="9"/>
        <v>0</v>
      </c>
      <c r="O57" s="17">
        <f t="shared" si="9"/>
        <v>0</v>
      </c>
      <c r="P57" s="17">
        <f t="shared" si="9"/>
        <v>0</v>
      </c>
      <c r="Q57" s="17">
        <f t="shared" si="9"/>
        <v>0</v>
      </c>
      <c r="R57" s="17">
        <f t="shared" si="9"/>
        <v>0</v>
      </c>
      <c r="S57" s="17">
        <f t="shared" si="9"/>
        <v>0</v>
      </c>
      <c r="T57" s="17">
        <f t="shared" si="9"/>
        <v>0</v>
      </c>
      <c r="U57" s="17">
        <f t="shared" si="9"/>
        <v>0</v>
      </c>
      <c r="V57" s="17">
        <f t="shared" si="9"/>
        <v>0</v>
      </c>
      <c r="W57" s="17">
        <f t="shared" si="9"/>
        <v>0</v>
      </c>
      <c r="X57" s="17">
        <f t="shared" si="9"/>
        <v>0</v>
      </c>
      <c r="Y57" s="17">
        <f t="shared" si="9"/>
        <v>0</v>
      </c>
      <c r="Z57" s="17">
        <f t="shared" si="9"/>
        <v>0</v>
      </c>
      <c r="AA57" s="17">
        <f t="shared" si="9"/>
        <v>0</v>
      </c>
      <c r="AB57" s="17">
        <f t="shared" si="9"/>
        <v>0</v>
      </c>
      <c r="AC57" s="17">
        <f t="shared" si="9"/>
        <v>0</v>
      </c>
      <c r="AD57" s="17">
        <f t="shared" si="9"/>
        <v>0</v>
      </c>
      <c r="AE57" s="17">
        <f t="shared" si="9"/>
        <v>0</v>
      </c>
      <c r="AF57" s="17">
        <f t="shared" si="9"/>
        <v>0</v>
      </c>
      <c r="AG57" s="17">
        <f t="shared" si="9"/>
        <v>0</v>
      </c>
      <c r="AH57" s="17">
        <f t="shared" si="9"/>
        <v>0</v>
      </c>
      <c r="AI57" s="17">
        <f t="shared" si="9"/>
        <v>0</v>
      </c>
      <c r="AJ57" s="17">
        <f t="shared" si="9"/>
        <v>0</v>
      </c>
    </row>
    <row r="58" spans="2:36" ht="15.75" thickBot="1">
      <c r="B58" s="338"/>
      <c r="C58" s="336" t="s">
        <v>107</v>
      </c>
      <c r="D58" s="275" t="s">
        <v>88</v>
      </c>
      <c r="E58" s="269"/>
      <c r="F58" s="270"/>
      <c r="G58" s="270"/>
      <c r="H58" s="270"/>
      <c r="I58" s="270"/>
      <c r="J58" s="270"/>
      <c r="K58" s="270"/>
      <c r="L58" s="270"/>
      <c r="M58" s="270"/>
      <c r="N58" s="270"/>
      <c r="O58" s="270"/>
      <c r="P58" s="270"/>
      <c r="Q58" s="270"/>
      <c r="R58" s="270"/>
      <c r="S58" s="270"/>
      <c r="T58" s="270"/>
      <c r="U58" s="270"/>
      <c r="V58" s="270"/>
      <c r="W58" s="270"/>
      <c r="X58" s="270"/>
      <c r="Y58" s="270"/>
      <c r="Z58" s="270"/>
      <c r="AA58" s="270"/>
      <c r="AB58" s="270"/>
      <c r="AC58" s="270"/>
      <c r="AD58" s="270"/>
      <c r="AE58" s="270"/>
      <c r="AF58" s="270"/>
      <c r="AG58" s="270"/>
      <c r="AH58" s="270"/>
      <c r="AI58" s="270"/>
      <c r="AJ58" s="11">
        <f t="shared" si="0"/>
        <v>0</v>
      </c>
    </row>
    <row r="59" spans="2:36" ht="15.75" thickBot="1">
      <c r="B59" s="338"/>
      <c r="C59" s="336"/>
      <c r="D59" s="275" t="s">
        <v>89</v>
      </c>
      <c r="E59" s="269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  <c r="AC59" s="270"/>
      <c r="AD59" s="270"/>
      <c r="AE59" s="270"/>
      <c r="AF59" s="270"/>
      <c r="AG59" s="270"/>
      <c r="AH59" s="270"/>
      <c r="AI59" s="270"/>
      <c r="AJ59" s="11">
        <f t="shared" si="0"/>
        <v>0</v>
      </c>
    </row>
    <row r="60" spans="2:36" ht="15.75" thickBot="1">
      <c r="B60" s="338"/>
      <c r="C60" s="336"/>
      <c r="D60" s="275" t="s">
        <v>52</v>
      </c>
      <c r="E60" s="269"/>
      <c r="F60" s="269"/>
      <c r="G60" s="269"/>
      <c r="H60" s="269"/>
      <c r="I60" s="269"/>
      <c r="J60" s="269"/>
      <c r="K60" s="269"/>
      <c r="L60" s="269"/>
      <c r="M60" s="269"/>
      <c r="N60" s="269"/>
      <c r="O60" s="269"/>
      <c r="P60" s="269"/>
      <c r="Q60" s="269"/>
      <c r="R60" s="269"/>
      <c r="S60" s="269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11">
        <f t="shared" si="0"/>
        <v>0</v>
      </c>
    </row>
    <row r="61" spans="2:36" ht="15.75" thickBot="1">
      <c r="B61" s="338"/>
      <c r="C61" s="336"/>
      <c r="D61" s="18" t="s">
        <v>17</v>
      </c>
      <c r="E61" s="17">
        <f>SUM(E58:E60)</f>
        <v>0</v>
      </c>
      <c r="F61" s="17">
        <f t="shared" ref="F61:AJ61" si="10">SUM(F58:F60)</f>
        <v>0</v>
      </c>
      <c r="G61" s="17">
        <f t="shared" si="10"/>
        <v>0</v>
      </c>
      <c r="H61" s="17">
        <f t="shared" si="10"/>
        <v>0</v>
      </c>
      <c r="I61" s="17">
        <f t="shared" si="10"/>
        <v>0</v>
      </c>
      <c r="J61" s="17">
        <f t="shared" si="10"/>
        <v>0</v>
      </c>
      <c r="K61" s="17">
        <f t="shared" si="10"/>
        <v>0</v>
      </c>
      <c r="L61" s="17">
        <f t="shared" si="10"/>
        <v>0</v>
      </c>
      <c r="M61" s="17">
        <f t="shared" si="10"/>
        <v>0</v>
      </c>
      <c r="N61" s="17">
        <f t="shared" si="10"/>
        <v>0</v>
      </c>
      <c r="O61" s="17">
        <f t="shared" si="10"/>
        <v>0</v>
      </c>
      <c r="P61" s="17">
        <f t="shared" si="10"/>
        <v>0</v>
      </c>
      <c r="Q61" s="17">
        <f t="shared" si="10"/>
        <v>0</v>
      </c>
      <c r="R61" s="17">
        <f t="shared" si="10"/>
        <v>0</v>
      </c>
      <c r="S61" s="17">
        <f t="shared" si="10"/>
        <v>0</v>
      </c>
      <c r="T61" s="17">
        <f t="shared" si="10"/>
        <v>0</v>
      </c>
      <c r="U61" s="17">
        <f t="shared" si="10"/>
        <v>0</v>
      </c>
      <c r="V61" s="17">
        <f t="shared" si="10"/>
        <v>0</v>
      </c>
      <c r="W61" s="17">
        <f t="shared" si="10"/>
        <v>0</v>
      </c>
      <c r="X61" s="17">
        <f t="shared" si="10"/>
        <v>0</v>
      </c>
      <c r="Y61" s="17">
        <f t="shared" si="10"/>
        <v>0</v>
      </c>
      <c r="Z61" s="17">
        <f t="shared" si="10"/>
        <v>0</v>
      </c>
      <c r="AA61" s="17">
        <f t="shared" si="10"/>
        <v>0</v>
      </c>
      <c r="AB61" s="17">
        <f t="shared" si="10"/>
        <v>0</v>
      </c>
      <c r="AC61" s="17">
        <f t="shared" si="10"/>
        <v>0</v>
      </c>
      <c r="AD61" s="17">
        <f t="shared" si="10"/>
        <v>0</v>
      </c>
      <c r="AE61" s="17">
        <f t="shared" si="10"/>
        <v>0</v>
      </c>
      <c r="AF61" s="17">
        <f t="shared" si="10"/>
        <v>0</v>
      </c>
      <c r="AG61" s="17">
        <f t="shared" si="10"/>
        <v>0</v>
      </c>
      <c r="AH61" s="17">
        <f t="shared" si="10"/>
        <v>0</v>
      </c>
      <c r="AI61" s="17">
        <f t="shared" si="10"/>
        <v>0</v>
      </c>
      <c r="AJ61" s="17">
        <f t="shared" si="10"/>
        <v>0</v>
      </c>
    </row>
    <row r="62" spans="2:36" ht="15.75" thickBot="1">
      <c r="B62" s="338"/>
      <c r="C62" s="336" t="s">
        <v>72</v>
      </c>
      <c r="D62" s="275" t="s">
        <v>73</v>
      </c>
      <c r="E62" s="269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0"/>
      <c r="T62" s="270"/>
      <c r="U62" s="270"/>
      <c r="V62" s="270"/>
      <c r="W62" s="270"/>
      <c r="X62" s="270"/>
      <c r="Y62" s="270"/>
      <c r="Z62" s="270"/>
      <c r="AA62" s="270"/>
      <c r="AB62" s="270"/>
      <c r="AC62" s="270"/>
      <c r="AD62" s="270"/>
      <c r="AE62" s="270"/>
      <c r="AF62" s="270"/>
      <c r="AG62" s="270"/>
      <c r="AH62" s="270"/>
      <c r="AI62" s="270"/>
      <c r="AJ62" s="11">
        <f t="shared" si="0"/>
        <v>0</v>
      </c>
    </row>
    <row r="63" spans="2:36" ht="15.75" thickBot="1">
      <c r="B63" s="338"/>
      <c r="C63" s="336"/>
      <c r="D63" s="269" t="s">
        <v>56</v>
      </c>
      <c r="E63" s="270"/>
      <c r="F63" s="270"/>
      <c r="G63" s="270"/>
      <c r="H63" s="270"/>
      <c r="I63" s="270"/>
      <c r="J63" s="270"/>
      <c r="K63" s="270"/>
      <c r="L63" s="270"/>
      <c r="M63" s="270"/>
      <c r="N63" s="270"/>
      <c r="O63" s="270"/>
      <c r="P63" s="270"/>
      <c r="Q63" s="270"/>
      <c r="R63" s="270"/>
      <c r="S63" s="270"/>
      <c r="T63" s="270"/>
      <c r="U63" s="270"/>
      <c r="V63" s="270"/>
      <c r="W63" s="270"/>
      <c r="X63" s="270"/>
      <c r="Y63" s="270"/>
      <c r="Z63" s="270"/>
      <c r="AA63" s="270"/>
      <c r="AB63" s="270"/>
      <c r="AC63" s="270"/>
      <c r="AD63" s="270"/>
      <c r="AE63" s="270"/>
      <c r="AF63" s="270"/>
      <c r="AG63" s="270"/>
      <c r="AH63" s="270"/>
      <c r="AI63" s="270"/>
      <c r="AJ63" s="11">
        <f t="shared" si="0"/>
        <v>0</v>
      </c>
    </row>
    <row r="64" spans="2:36" ht="15.75" thickBot="1">
      <c r="B64" s="338"/>
      <c r="C64" s="336"/>
      <c r="D64" s="269" t="s">
        <v>52</v>
      </c>
      <c r="E64" s="270"/>
      <c r="F64" s="270"/>
      <c r="G64" s="270"/>
      <c r="H64" s="270"/>
      <c r="I64" s="270"/>
      <c r="J64" s="270"/>
      <c r="K64" s="270"/>
      <c r="L64" s="270"/>
      <c r="M64" s="270"/>
      <c r="N64" s="270"/>
      <c r="O64" s="270"/>
      <c r="P64" s="270"/>
      <c r="Q64" s="270"/>
      <c r="R64" s="270"/>
      <c r="S64" s="270"/>
      <c r="T64" s="270"/>
      <c r="U64" s="270"/>
      <c r="V64" s="270"/>
      <c r="W64" s="270"/>
      <c r="X64" s="270"/>
      <c r="Y64" s="270"/>
      <c r="Z64" s="270"/>
      <c r="AA64" s="270"/>
      <c r="AB64" s="270"/>
      <c r="AC64" s="270"/>
      <c r="AD64" s="270"/>
      <c r="AE64" s="270"/>
      <c r="AF64" s="270"/>
      <c r="AG64" s="270"/>
      <c r="AH64" s="270"/>
      <c r="AI64" s="270"/>
      <c r="AJ64" s="11">
        <f t="shared" si="0"/>
        <v>0</v>
      </c>
    </row>
    <row r="65" spans="2:36" ht="15.75" thickBot="1">
      <c r="B65" s="338"/>
      <c r="C65" s="336"/>
      <c r="D65" s="17" t="s">
        <v>17</v>
      </c>
      <c r="E65" s="19">
        <f>SUM(E62:E64)</f>
        <v>0</v>
      </c>
      <c r="F65" s="19">
        <f t="shared" ref="F65:AJ65" si="11">SUM(F62:F64)</f>
        <v>0</v>
      </c>
      <c r="G65" s="19">
        <f t="shared" si="11"/>
        <v>0</v>
      </c>
      <c r="H65" s="19">
        <f t="shared" si="11"/>
        <v>0</v>
      </c>
      <c r="I65" s="19">
        <f t="shared" si="11"/>
        <v>0</v>
      </c>
      <c r="J65" s="19">
        <f t="shared" si="11"/>
        <v>0</v>
      </c>
      <c r="K65" s="19">
        <f t="shared" si="11"/>
        <v>0</v>
      </c>
      <c r="L65" s="19">
        <f t="shared" si="11"/>
        <v>0</v>
      </c>
      <c r="M65" s="19">
        <f t="shared" si="11"/>
        <v>0</v>
      </c>
      <c r="N65" s="19">
        <f t="shared" si="11"/>
        <v>0</v>
      </c>
      <c r="O65" s="19">
        <f t="shared" si="11"/>
        <v>0</v>
      </c>
      <c r="P65" s="19">
        <f t="shared" si="11"/>
        <v>0</v>
      </c>
      <c r="Q65" s="19">
        <f t="shared" si="11"/>
        <v>0</v>
      </c>
      <c r="R65" s="19">
        <f t="shared" si="11"/>
        <v>0</v>
      </c>
      <c r="S65" s="19">
        <f t="shared" si="11"/>
        <v>0</v>
      </c>
      <c r="T65" s="19">
        <f t="shared" si="11"/>
        <v>0</v>
      </c>
      <c r="U65" s="19">
        <f t="shared" si="11"/>
        <v>0</v>
      </c>
      <c r="V65" s="19">
        <f t="shared" si="11"/>
        <v>0</v>
      </c>
      <c r="W65" s="19">
        <f t="shared" si="11"/>
        <v>0</v>
      </c>
      <c r="X65" s="19">
        <f t="shared" si="11"/>
        <v>0</v>
      </c>
      <c r="Y65" s="19">
        <f t="shared" si="11"/>
        <v>0</v>
      </c>
      <c r="Z65" s="19">
        <f t="shared" si="11"/>
        <v>0</v>
      </c>
      <c r="AA65" s="19">
        <f t="shared" si="11"/>
        <v>0</v>
      </c>
      <c r="AB65" s="19">
        <f t="shared" si="11"/>
        <v>0</v>
      </c>
      <c r="AC65" s="19">
        <f t="shared" si="11"/>
        <v>0</v>
      </c>
      <c r="AD65" s="19">
        <f t="shared" si="11"/>
        <v>0</v>
      </c>
      <c r="AE65" s="19">
        <f t="shared" si="11"/>
        <v>0</v>
      </c>
      <c r="AF65" s="19">
        <f t="shared" si="11"/>
        <v>0</v>
      </c>
      <c r="AG65" s="19">
        <f t="shared" si="11"/>
        <v>0</v>
      </c>
      <c r="AH65" s="19">
        <f t="shared" si="11"/>
        <v>0</v>
      </c>
      <c r="AI65" s="19">
        <f t="shared" si="11"/>
        <v>0</v>
      </c>
      <c r="AJ65" s="19">
        <f t="shared" si="11"/>
        <v>0</v>
      </c>
    </row>
    <row r="66" spans="2:36">
      <c r="B66" s="5"/>
      <c r="C66" s="5"/>
      <c r="D66" s="14" t="s">
        <v>104</v>
      </c>
      <c r="E66" s="14">
        <f>SUM(E13,E23,E27,E32,E36,E44,E48,E52,E57,E61,E65)</f>
        <v>0</v>
      </c>
      <c r="F66" s="14">
        <f t="shared" ref="F66:AI66" si="12">SUM(F13,F23,F27,F32,F36,F44,F48,F52,F57,F61,F65)</f>
        <v>0</v>
      </c>
      <c r="G66" s="14">
        <f t="shared" si="12"/>
        <v>0</v>
      </c>
      <c r="H66" s="14">
        <f t="shared" si="12"/>
        <v>0</v>
      </c>
      <c r="I66" s="14">
        <f t="shared" si="12"/>
        <v>0</v>
      </c>
      <c r="J66" s="14">
        <f t="shared" si="12"/>
        <v>0</v>
      </c>
      <c r="K66" s="14">
        <f t="shared" si="12"/>
        <v>0</v>
      </c>
      <c r="L66" s="14">
        <f t="shared" si="12"/>
        <v>0</v>
      </c>
      <c r="M66" s="14">
        <f t="shared" si="12"/>
        <v>0</v>
      </c>
      <c r="N66" s="14">
        <f t="shared" si="12"/>
        <v>0</v>
      </c>
      <c r="O66" s="14">
        <f t="shared" si="12"/>
        <v>0</v>
      </c>
      <c r="P66" s="14">
        <f t="shared" si="12"/>
        <v>0</v>
      </c>
      <c r="Q66" s="14">
        <f t="shared" si="12"/>
        <v>0</v>
      </c>
      <c r="R66" s="14">
        <f t="shared" si="12"/>
        <v>0</v>
      </c>
      <c r="S66" s="14">
        <f t="shared" si="12"/>
        <v>0</v>
      </c>
      <c r="T66" s="14">
        <f t="shared" si="12"/>
        <v>0</v>
      </c>
      <c r="U66" s="14">
        <f t="shared" si="12"/>
        <v>0</v>
      </c>
      <c r="V66" s="14">
        <f t="shared" si="12"/>
        <v>0</v>
      </c>
      <c r="W66" s="14">
        <f t="shared" si="12"/>
        <v>0</v>
      </c>
      <c r="X66" s="14">
        <f t="shared" si="12"/>
        <v>0</v>
      </c>
      <c r="Y66" s="14">
        <f t="shared" si="12"/>
        <v>0</v>
      </c>
      <c r="Z66" s="14">
        <f t="shared" si="12"/>
        <v>0</v>
      </c>
      <c r="AA66" s="14">
        <f t="shared" si="12"/>
        <v>0</v>
      </c>
      <c r="AB66" s="14">
        <f t="shared" si="12"/>
        <v>0</v>
      </c>
      <c r="AC66" s="14">
        <f t="shared" si="12"/>
        <v>0</v>
      </c>
      <c r="AD66" s="14">
        <f t="shared" si="12"/>
        <v>0</v>
      </c>
      <c r="AE66" s="14">
        <f t="shared" si="12"/>
        <v>0</v>
      </c>
      <c r="AF66" s="14">
        <f t="shared" si="12"/>
        <v>0</v>
      </c>
      <c r="AG66" s="14">
        <f t="shared" si="12"/>
        <v>0</v>
      </c>
      <c r="AH66" s="14">
        <f t="shared" si="12"/>
        <v>0</v>
      </c>
      <c r="AI66" s="14">
        <f t="shared" si="12"/>
        <v>0</v>
      </c>
      <c r="AJ66" s="27">
        <f>SUM(E66:AI66)</f>
        <v>0</v>
      </c>
    </row>
  </sheetData>
  <mergeCells count="13">
    <mergeCell ref="B2:AJ2"/>
    <mergeCell ref="B5:B65"/>
    <mergeCell ref="C37:C44"/>
    <mergeCell ref="C45:C48"/>
    <mergeCell ref="C49:C52"/>
    <mergeCell ref="C53:C57"/>
    <mergeCell ref="C58:C61"/>
    <mergeCell ref="C62:C65"/>
    <mergeCell ref="C5:C13"/>
    <mergeCell ref="C14:C23"/>
    <mergeCell ref="C24:C27"/>
    <mergeCell ref="C28:C32"/>
    <mergeCell ref="C33:C36"/>
  </mergeCells>
  <conditionalFormatting sqref="E28:AI31 E33:AI35 E37:AI43 E45:AI47 E49:AI51 E53:AI56 E58:AI60 E62:AI64">
    <cfRule type="notContainsBlanks" dxfId="32" priority="3">
      <formula>LEN(TRIM(E28))&gt;0</formula>
    </cfRule>
  </conditionalFormatting>
  <conditionalFormatting sqref="D5:D12 D14:D22 D24:D26 D28:D31 D33:D35 D37:D43 D45:D47 D49:D51 D53:D56 D58:D60 D62:D64">
    <cfRule type="notContainsBlanks" dxfId="31" priority="2">
      <formula>LEN(TRIM(D5))&gt;0</formula>
    </cfRule>
  </conditionalFormatting>
  <conditionalFormatting sqref="E5:AI12 E14:AI22 E24:AI26">
    <cfRule type="notContainsBlanks" dxfId="30" priority="1">
      <formula>LEN(TRIM(E5))&gt;0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8"/>
  <dimension ref="A1:AJ66"/>
  <sheetViews>
    <sheetView showGridLines="0" showRowColHeaders="0"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2" max="2" width="18.42578125" customWidth="1"/>
    <col min="3" max="3" width="18.28515625" bestFit="1" customWidth="1"/>
    <col min="4" max="4" width="19.7109375" bestFit="1" customWidth="1"/>
    <col min="5" max="35" width="12.5703125" bestFit="1" customWidth="1"/>
    <col min="36" max="36" width="13.5703125" bestFit="1" customWidth="1"/>
  </cols>
  <sheetData>
    <row r="1" spans="1:36" ht="15.75" thickBot="1">
      <c r="A1" s="279"/>
    </row>
    <row r="2" spans="1:36" ht="33.75" customHeight="1" thickBot="1">
      <c r="B2" s="339" t="s">
        <v>2</v>
      </c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  <c r="R2" s="339"/>
      <c r="S2" s="339"/>
      <c r="T2" s="339"/>
      <c r="U2" s="339"/>
      <c r="V2" s="339"/>
      <c r="W2" s="339"/>
      <c r="X2" s="339"/>
      <c r="Y2" s="339"/>
      <c r="Z2" s="339"/>
      <c r="AA2" s="339"/>
      <c r="AB2" s="339"/>
      <c r="AC2" s="339"/>
      <c r="AD2" s="339"/>
      <c r="AE2" s="339"/>
      <c r="AF2" s="339"/>
      <c r="AG2" s="339"/>
      <c r="AH2" s="339"/>
      <c r="AI2" s="339"/>
      <c r="AJ2" s="339"/>
    </row>
    <row r="4" spans="1:36" ht="15.75" thickBot="1">
      <c r="B4" s="4"/>
      <c r="C4" s="5"/>
      <c r="D4" s="12" t="s">
        <v>57</v>
      </c>
      <c r="E4" s="13">
        <v>1</v>
      </c>
      <c r="F4" s="13">
        <v>2</v>
      </c>
      <c r="G4" s="13">
        <v>3</v>
      </c>
      <c r="H4" s="13">
        <v>4</v>
      </c>
      <c r="I4" s="13">
        <v>5</v>
      </c>
      <c r="J4" s="13">
        <v>6</v>
      </c>
      <c r="K4" s="13">
        <v>7</v>
      </c>
      <c r="L4" s="13">
        <v>8</v>
      </c>
      <c r="M4" s="13">
        <v>9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17</v>
      </c>
      <c r="V4" s="13">
        <v>18</v>
      </c>
      <c r="W4" s="13">
        <v>19</v>
      </c>
      <c r="X4" s="13">
        <v>20</v>
      </c>
      <c r="Y4" s="13">
        <v>21</v>
      </c>
      <c r="Z4" s="13">
        <v>22</v>
      </c>
      <c r="AA4" s="13">
        <v>23</v>
      </c>
      <c r="AB4" s="13">
        <v>24</v>
      </c>
      <c r="AC4" s="13">
        <v>25</v>
      </c>
      <c r="AD4" s="13">
        <v>26</v>
      </c>
      <c r="AE4" s="13">
        <v>27</v>
      </c>
      <c r="AF4" s="13">
        <v>28</v>
      </c>
      <c r="AG4" s="13">
        <v>29</v>
      </c>
      <c r="AH4" s="13">
        <v>30</v>
      </c>
      <c r="AI4" s="13">
        <v>31</v>
      </c>
      <c r="AJ4" s="27" t="s">
        <v>103</v>
      </c>
    </row>
    <row r="5" spans="1:36" ht="15.75" thickBot="1">
      <c r="B5" s="338" t="s">
        <v>126</v>
      </c>
      <c r="C5" s="336" t="s">
        <v>25</v>
      </c>
      <c r="D5" s="268" t="s">
        <v>30</v>
      </c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11">
        <f>SUM(E5:AI5)</f>
        <v>0</v>
      </c>
    </row>
    <row r="6" spans="1:36" ht="15.75" thickBot="1">
      <c r="B6" s="338"/>
      <c r="C6" s="336"/>
      <c r="D6" s="271" t="s">
        <v>26</v>
      </c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11">
        <f t="shared" ref="AJ6:AJ66" si="0">SUM(E6:AI6)</f>
        <v>0</v>
      </c>
    </row>
    <row r="7" spans="1:36" ht="15.75" thickBot="1">
      <c r="B7" s="338"/>
      <c r="C7" s="336"/>
      <c r="D7" s="271" t="s">
        <v>29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11">
        <f t="shared" si="0"/>
        <v>0</v>
      </c>
    </row>
    <row r="8" spans="1:36" ht="15.75" thickBot="1">
      <c r="B8" s="338"/>
      <c r="C8" s="336"/>
      <c r="D8" s="271" t="s">
        <v>27</v>
      </c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11">
        <f t="shared" si="0"/>
        <v>0</v>
      </c>
    </row>
    <row r="9" spans="1:36" ht="15.75" thickBot="1">
      <c r="B9" s="338"/>
      <c r="C9" s="336"/>
      <c r="D9" s="271" t="s">
        <v>28</v>
      </c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11">
        <f t="shared" si="0"/>
        <v>0</v>
      </c>
    </row>
    <row r="10" spans="1:36" ht="15.75" thickBot="1">
      <c r="B10" s="338"/>
      <c r="C10" s="336"/>
      <c r="D10" s="272" t="s">
        <v>86</v>
      </c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11">
        <f t="shared" si="0"/>
        <v>0</v>
      </c>
    </row>
    <row r="11" spans="1:36" ht="15.75" thickBot="1">
      <c r="B11" s="338"/>
      <c r="C11" s="336"/>
      <c r="D11" s="272" t="s">
        <v>87</v>
      </c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11">
        <f t="shared" si="0"/>
        <v>0</v>
      </c>
    </row>
    <row r="12" spans="1:36" ht="15.75" thickBot="1">
      <c r="B12" s="338"/>
      <c r="C12" s="336"/>
      <c r="D12" s="272" t="s">
        <v>52</v>
      </c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11">
        <f t="shared" si="0"/>
        <v>0</v>
      </c>
    </row>
    <row r="13" spans="1:36" ht="15.75" thickBot="1">
      <c r="B13" s="338"/>
      <c r="C13" s="336"/>
      <c r="D13" s="20" t="s">
        <v>17</v>
      </c>
      <c r="E13" s="21">
        <f>SUM(E5:E12)</f>
        <v>0</v>
      </c>
      <c r="F13" s="21">
        <f t="shared" ref="F13:AJ13" si="1">SUM(F5:F12)</f>
        <v>0</v>
      </c>
      <c r="G13" s="21">
        <f>SUM(G5:G12)</f>
        <v>0</v>
      </c>
      <c r="H13" s="21">
        <f t="shared" si="1"/>
        <v>0</v>
      </c>
      <c r="I13" s="21">
        <f t="shared" si="1"/>
        <v>0</v>
      </c>
      <c r="J13" s="21">
        <f>SUM(J5:J12)</f>
        <v>0</v>
      </c>
      <c r="K13" s="21">
        <f t="shared" si="1"/>
        <v>0</v>
      </c>
      <c r="L13" s="21">
        <f t="shared" si="1"/>
        <v>0</v>
      </c>
      <c r="M13" s="21">
        <f>SUM(M5:M12)</f>
        <v>0</v>
      </c>
      <c r="N13" s="21">
        <f t="shared" si="1"/>
        <v>0</v>
      </c>
      <c r="O13" s="21">
        <f t="shared" si="1"/>
        <v>0</v>
      </c>
      <c r="P13" s="21">
        <f t="shared" si="1"/>
        <v>0</v>
      </c>
      <c r="Q13" s="21">
        <f t="shared" si="1"/>
        <v>0</v>
      </c>
      <c r="R13" s="21">
        <f t="shared" si="1"/>
        <v>0</v>
      </c>
      <c r="S13" s="21">
        <f t="shared" si="1"/>
        <v>0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21">
        <f t="shared" si="1"/>
        <v>0</v>
      </c>
      <c r="AG13" s="21">
        <f t="shared" si="1"/>
        <v>0</v>
      </c>
      <c r="AH13" s="21">
        <f t="shared" si="1"/>
        <v>0</v>
      </c>
      <c r="AI13" s="21">
        <f t="shared" si="1"/>
        <v>0</v>
      </c>
      <c r="AJ13" s="21">
        <f t="shared" si="1"/>
        <v>0</v>
      </c>
    </row>
    <row r="14" spans="1:36" ht="15.75" thickBot="1">
      <c r="B14" s="338"/>
      <c r="C14" s="336" t="s">
        <v>23</v>
      </c>
      <c r="D14" s="273" t="s">
        <v>31</v>
      </c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11">
        <f t="shared" si="0"/>
        <v>0</v>
      </c>
    </row>
    <row r="15" spans="1:36" ht="15.75" thickBot="1">
      <c r="B15" s="338"/>
      <c r="C15" s="336"/>
      <c r="D15" s="271" t="s">
        <v>32</v>
      </c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11">
        <f t="shared" si="0"/>
        <v>0</v>
      </c>
    </row>
    <row r="16" spans="1:36" ht="15.75" thickBot="1">
      <c r="B16" s="338"/>
      <c r="C16" s="336"/>
      <c r="D16" s="271" t="s">
        <v>33</v>
      </c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11">
        <f t="shared" si="0"/>
        <v>0</v>
      </c>
    </row>
    <row r="17" spans="2:36" ht="15.75" thickBot="1">
      <c r="B17" s="338"/>
      <c r="C17" s="336"/>
      <c r="D17" s="271" t="s">
        <v>54</v>
      </c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  <c r="AJ17" s="11">
        <f t="shared" si="0"/>
        <v>0</v>
      </c>
    </row>
    <row r="18" spans="2:36" ht="15.75" thickBot="1">
      <c r="B18" s="338"/>
      <c r="C18" s="336"/>
      <c r="D18" s="271" t="s">
        <v>55</v>
      </c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  <c r="AJ18" s="11">
        <f t="shared" si="0"/>
        <v>0</v>
      </c>
    </row>
    <row r="19" spans="2:36" ht="15.75" thickBot="1">
      <c r="B19" s="338"/>
      <c r="C19" s="336"/>
      <c r="D19" s="271" t="s">
        <v>38</v>
      </c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  <c r="AF19" s="269"/>
      <c r="AG19" s="269"/>
      <c r="AH19" s="269"/>
      <c r="AI19" s="269"/>
      <c r="AJ19" s="11">
        <f t="shared" si="0"/>
        <v>0</v>
      </c>
    </row>
    <row r="20" spans="2:36" ht="15.75" thickBot="1">
      <c r="B20" s="338"/>
      <c r="C20" s="336"/>
      <c r="D20" s="271" t="s">
        <v>37</v>
      </c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  <c r="AF20" s="269"/>
      <c r="AG20" s="269"/>
      <c r="AH20" s="269"/>
      <c r="AI20" s="269"/>
      <c r="AJ20" s="11">
        <f t="shared" si="0"/>
        <v>0</v>
      </c>
    </row>
    <row r="21" spans="2:36" ht="15.75" thickBot="1">
      <c r="B21" s="338"/>
      <c r="C21" s="336"/>
      <c r="D21" s="271" t="s">
        <v>75</v>
      </c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  <c r="AF21" s="269"/>
      <c r="AG21" s="269"/>
      <c r="AH21" s="269"/>
      <c r="AI21" s="269"/>
      <c r="AJ21" s="11">
        <f t="shared" si="0"/>
        <v>0</v>
      </c>
    </row>
    <row r="22" spans="2:36" ht="15.75" thickBot="1">
      <c r="B22" s="338"/>
      <c r="C22" s="336"/>
      <c r="D22" s="271" t="s">
        <v>52</v>
      </c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  <c r="AF22" s="269"/>
      <c r="AG22" s="269"/>
      <c r="AH22" s="269"/>
      <c r="AI22" s="269"/>
      <c r="AJ22" s="11">
        <f t="shared" si="0"/>
        <v>0</v>
      </c>
    </row>
    <row r="23" spans="2:36" ht="15.75" thickBot="1">
      <c r="B23" s="338"/>
      <c r="C23" s="336"/>
      <c r="D23" s="22" t="s">
        <v>17</v>
      </c>
      <c r="E23" s="21">
        <f>SUM(E14:E22)</f>
        <v>0</v>
      </c>
      <c r="F23" s="21">
        <f>SUM(F14:F22)</f>
        <v>0</v>
      </c>
      <c r="G23" s="21">
        <f t="shared" ref="G23:AJ23" si="2">SUM(G14:G22)</f>
        <v>0</v>
      </c>
      <c r="H23" s="21">
        <f t="shared" si="2"/>
        <v>0</v>
      </c>
      <c r="I23" s="21">
        <f>SUM(I14:I22)</f>
        <v>0</v>
      </c>
      <c r="J23" s="21">
        <f t="shared" si="2"/>
        <v>0</v>
      </c>
      <c r="K23" s="21">
        <f t="shared" si="2"/>
        <v>0</v>
      </c>
      <c r="L23" s="21">
        <f>SUM(L14:L22)</f>
        <v>0</v>
      </c>
      <c r="M23" s="21">
        <f t="shared" si="2"/>
        <v>0</v>
      </c>
      <c r="N23" s="21">
        <f t="shared" si="2"/>
        <v>0</v>
      </c>
      <c r="O23" s="21">
        <f t="shared" si="2"/>
        <v>0</v>
      </c>
      <c r="P23" s="21">
        <f t="shared" si="2"/>
        <v>0</v>
      </c>
      <c r="Q23" s="21">
        <f t="shared" si="2"/>
        <v>0</v>
      </c>
      <c r="R23" s="21">
        <f t="shared" si="2"/>
        <v>0</v>
      </c>
      <c r="S23" s="21">
        <f t="shared" si="2"/>
        <v>0</v>
      </c>
      <c r="T23" s="21">
        <f t="shared" si="2"/>
        <v>0</v>
      </c>
      <c r="U23" s="21">
        <f t="shared" si="2"/>
        <v>0</v>
      </c>
      <c r="V23" s="21">
        <f t="shared" si="2"/>
        <v>0</v>
      </c>
      <c r="W23" s="21">
        <f t="shared" si="2"/>
        <v>0</v>
      </c>
      <c r="X23" s="21">
        <f t="shared" si="2"/>
        <v>0</v>
      </c>
      <c r="Y23" s="21">
        <f t="shared" si="2"/>
        <v>0</v>
      </c>
      <c r="Z23" s="21">
        <f t="shared" si="2"/>
        <v>0</v>
      </c>
      <c r="AA23" s="21">
        <f t="shared" si="2"/>
        <v>0</v>
      </c>
      <c r="AB23" s="21">
        <f t="shared" si="2"/>
        <v>0</v>
      </c>
      <c r="AC23" s="21">
        <f t="shared" si="2"/>
        <v>0</v>
      </c>
      <c r="AD23" s="21">
        <f t="shared" si="2"/>
        <v>0</v>
      </c>
      <c r="AE23" s="21">
        <f t="shared" si="2"/>
        <v>0</v>
      </c>
      <c r="AF23" s="21">
        <f t="shared" si="2"/>
        <v>0</v>
      </c>
      <c r="AG23" s="21">
        <f t="shared" si="2"/>
        <v>0</v>
      </c>
      <c r="AH23" s="21">
        <f t="shared" si="2"/>
        <v>0</v>
      </c>
      <c r="AI23" s="21">
        <f t="shared" si="2"/>
        <v>0</v>
      </c>
      <c r="AJ23" s="21">
        <f t="shared" si="2"/>
        <v>0</v>
      </c>
    </row>
    <row r="24" spans="2:36" ht="15.75" thickBot="1">
      <c r="B24" s="338"/>
      <c r="C24" s="336" t="s">
        <v>39</v>
      </c>
      <c r="D24" s="271" t="s">
        <v>40</v>
      </c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  <c r="AF24" s="269"/>
      <c r="AG24" s="269"/>
      <c r="AH24" s="269"/>
      <c r="AI24" s="269"/>
      <c r="AJ24" s="11">
        <f t="shared" si="0"/>
        <v>0</v>
      </c>
    </row>
    <row r="25" spans="2:36" ht="15.75" thickBot="1">
      <c r="B25" s="338"/>
      <c r="C25" s="336"/>
      <c r="D25" s="271" t="s">
        <v>41</v>
      </c>
      <c r="E25" s="269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  <c r="AF25" s="269"/>
      <c r="AG25" s="269"/>
      <c r="AH25" s="269"/>
      <c r="AI25" s="269"/>
      <c r="AJ25" s="11">
        <f t="shared" si="0"/>
        <v>0</v>
      </c>
    </row>
    <row r="26" spans="2:36" ht="15.75" thickBot="1">
      <c r="B26" s="338"/>
      <c r="C26" s="336"/>
      <c r="D26" s="271" t="s">
        <v>52</v>
      </c>
      <c r="E26" s="269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  <c r="AF26" s="269"/>
      <c r="AG26" s="269"/>
      <c r="AH26" s="269"/>
      <c r="AI26" s="269"/>
      <c r="AJ26" s="11">
        <f t="shared" si="0"/>
        <v>0</v>
      </c>
    </row>
    <row r="27" spans="2:36" ht="15.75" thickBot="1">
      <c r="B27" s="338"/>
      <c r="C27" s="336"/>
      <c r="D27" s="16" t="s">
        <v>17</v>
      </c>
      <c r="E27" s="17">
        <f>SUM(E24:E26)</f>
        <v>0</v>
      </c>
      <c r="F27" s="17">
        <f t="shared" ref="F27:AJ27" si="3">SUM(F24:F26)</f>
        <v>0</v>
      </c>
      <c r="G27" s="17">
        <f t="shared" si="3"/>
        <v>0</v>
      </c>
      <c r="H27" s="17">
        <f t="shared" si="3"/>
        <v>0</v>
      </c>
      <c r="I27" s="17">
        <f t="shared" si="3"/>
        <v>0</v>
      </c>
      <c r="J27" s="17">
        <f t="shared" si="3"/>
        <v>0</v>
      </c>
      <c r="K27" s="17">
        <f t="shared" si="3"/>
        <v>0</v>
      </c>
      <c r="L27" s="17">
        <f t="shared" si="3"/>
        <v>0</v>
      </c>
      <c r="M27" s="17">
        <f t="shared" si="3"/>
        <v>0</v>
      </c>
      <c r="N27" s="17">
        <f t="shared" si="3"/>
        <v>0</v>
      </c>
      <c r="O27" s="17">
        <f t="shared" si="3"/>
        <v>0</v>
      </c>
      <c r="P27" s="17">
        <f t="shared" si="3"/>
        <v>0</v>
      </c>
      <c r="Q27" s="17">
        <f t="shared" si="3"/>
        <v>0</v>
      </c>
      <c r="R27" s="17">
        <f t="shared" si="3"/>
        <v>0</v>
      </c>
      <c r="S27" s="17">
        <f t="shared" si="3"/>
        <v>0</v>
      </c>
      <c r="T27" s="17">
        <f t="shared" si="3"/>
        <v>0</v>
      </c>
      <c r="U27" s="17">
        <f t="shared" si="3"/>
        <v>0</v>
      </c>
      <c r="V27" s="17">
        <f t="shared" si="3"/>
        <v>0</v>
      </c>
      <c r="W27" s="17">
        <f t="shared" si="3"/>
        <v>0</v>
      </c>
      <c r="X27" s="17">
        <f t="shared" si="3"/>
        <v>0</v>
      </c>
      <c r="Y27" s="17">
        <f t="shared" si="3"/>
        <v>0</v>
      </c>
      <c r="Z27" s="17">
        <f t="shared" si="3"/>
        <v>0</v>
      </c>
      <c r="AA27" s="17">
        <f t="shared" si="3"/>
        <v>0</v>
      </c>
      <c r="AB27" s="17">
        <f t="shared" si="3"/>
        <v>0</v>
      </c>
      <c r="AC27" s="17">
        <f t="shared" si="3"/>
        <v>0</v>
      </c>
      <c r="AD27" s="17">
        <f t="shared" si="3"/>
        <v>0</v>
      </c>
      <c r="AE27" s="17">
        <f t="shared" si="3"/>
        <v>0</v>
      </c>
      <c r="AF27" s="17">
        <f t="shared" si="3"/>
        <v>0</v>
      </c>
      <c r="AG27" s="17">
        <f t="shared" si="3"/>
        <v>0</v>
      </c>
      <c r="AH27" s="17">
        <f t="shared" si="3"/>
        <v>0</v>
      </c>
      <c r="AI27" s="17">
        <f t="shared" si="3"/>
        <v>0</v>
      </c>
      <c r="AJ27" s="17">
        <f t="shared" si="3"/>
        <v>0</v>
      </c>
    </row>
    <row r="28" spans="2:36" ht="15.75" thickBot="1">
      <c r="B28" s="338"/>
      <c r="C28" s="336" t="s">
        <v>45</v>
      </c>
      <c r="D28" s="271" t="s">
        <v>79</v>
      </c>
      <c r="E28" s="269"/>
      <c r="F28" s="270"/>
      <c r="G28" s="270"/>
      <c r="H28" s="270"/>
      <c r="I28" s="270"/>
      <c r="J28" s="270"/>
      <c r="K28" s="270"/>
      <c r="L28" s="270"/>
      <c r="M28" s="270"/>
      <c r="N28" s="270"/>
      <c r="O28" s="270"/>
      <c r="P28" s="270"/>
      <c r="Q28" s="270"/>
      <c r="R28" s="270"/>
      <c r="S28" s="270"/>
      <c r="T28" s="270"/>
      <c r="U28" s="270"/>
      <c r="V28" s="270"/>
      <c r="W28" s="270"/>
      <c r="X28" s="270"/>
      <c r="Y28" s="270"/>
      <c r="Z28" s="270"/>
      <c r="AA28" s="270"/>
      <c r="AB28" s="270"/>
      <c r="AC28" s="270"/>
      <c r="AD28" s="270"/>
      <c r="AE28" s="270"/>
      <c r="AF28" s="270"/>
      <c r="AG28" s="270"/>
      <c r="AH28" s="270"/>
      <c r="AI28" s="270"/>
      <c r="AJ28" s="11">
        <f t="shared" si="0"/>
        <v>0</v>
      </c>
    </row>
    <row r="29" spans="2:36" ht="15.75" thickBot="1">
      <c r="B29" s="338"/>
      <c r="C29" s="336"/>
      <c r="D29" s="271" t="s">
        <v>78</v>
      </c>
      <c r="E29" s="269"/>
      <c r="F29" s="270"/>
      <c r="G29" s="270"/>
      <c r="H29" s="270"/>
      <c r="I29" s="270"/>
      <c r="J29" s="270"/>
      <c r="K29" s="270"/>
      <c r="L29" s="270"/>
      <c r="M29" s="270"/>
      <c r="N29" s="270"/>
      <c r="O29" s="270"/>
      <c r="P29" s="270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11">
        <f t="shared" si="0"/>
        <v>0</v>
      </c>
    </row>
    <row r="30" spans="2:36" ht="15.75" thickBot="1">
      <c r="B30" s="338"/>
      <c r="C30" s="336"/>
      <c r="D30" s="271" t="s">
        <v>48</v>
      </c>
      <c r="E30" s="269"/>
      <c r="F30" s="270"/>
      <c r="G30" s="270"/>
      <c r="H30" s="270"/>
      <c r="I30" s="270"/>
      <c r="J30" s="270"/>
      <c r="K30" s="270"/>
      <c r="L30" s="270"/>
      <c r="M30" s="270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11">
        <f t="shared" si="0"/>
        <v>0</v>
      </c>
    </row>
    <row r="31" spans="2:36" ht="15.75" thickBot="1">
      <c r="B31" s="338"/>
      <c r="C31" s="336"/>
      <c r="D31" s="271" t="s">
        <v>52</v>
      </c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11">
        <f t="shared" si="0"/>
        <v>0</v>
      </c>
    </row>
    <row r="32" spans="2:36" ht="15.75" thickBot="1">
      <c r="B32" s="338"/>
      <c r="C32" s="336"/>
      <c r="D32" s="16" t="s">
        <v>17</v>
      </c>
      <c r="E32" s="17">
        <f>SUM(E28:E31)</f>
        <v>0</v>
      </c>
      <c r="F32" s="17">
        <f t="shared" ref="F32:AJ32" si="4">SUM(F28:F31)</f>
        <v>0</v>
      </c>
      <c r="G32" s="17">
        <f t="shared" si="4"/>
        <v>0</v>
      </c>
      <c r="H32" s="17">
        <f t="shared" si="4"/>
        <v>0</v>
      </c>
      <c r="I32" s="17">
        <f t="shared" si="4"/>
        <v>0</v>
      </c>
      <c r="J32" s="17">
        <f t="shared" si="4"/>
        <v>0</v>
      </c>
      <c r="K32" s="17">
        <f t="shared" si="4"/>
        <v>0</v>
      </c>
      <c r="L32" s="17">
        <f t="shared" si="4"/>
        <v>0</v>
      </c>
      <c r="M32" s="17">
        <f>SUM(M28:M31)</f>
        <v>0</v>
      </c>
      <c r="N32" s="17">
        <f t="shared" si="4"/>
        <v>0</v>
      </c>
      <c r="O32" s="17">
        <f t="shared" si="4"/>
        <v>0</v>
      </c>
      <c r="P32" s="17">
        <f t="shared" si="4"/>
        <v>0</v>
      </c>
      <c r="Q32" s="17">
        <f t="shared" si="4"/>
        <v>0</v>
      </c>
      <c r="R32" s="17">
        <f t="shared" si="4"/>
        <v>0</v>
      </c>
      <c r="S32" s="17">
        <f t="shared" si="4"/>
        <v>0</v>
      </c>
      <c r="T32" s="17">
        <f t="shared" si="4"/>
        <v>0</v>
      </c>
      <c r="U32" s="17">
        <f t="shared" si="4"/>
        <v>0</v>
      </c>
      <c r="V32" s="17">
        <f t="shared" si="4"/>
        <v>0</v>
      </c>
      <c r="W32" s="17">
        <f t="shared" si="4"/>
        <v>0</v>
      </c>
      <c r="X32" s="17">
        <f t="shared" si="4"/>
        <v>0</v>
      </c>
      <c r="Y32" s="17">
        <f t="shared" si="4"/>
        <v>0</v>
      </c>
      <c r="Z32" s="17">
        <f t="shared" si="4"/>
        <v>0</v>
      </c>
      <c r="AA32" s="17">
        <f t="shared" si="4"/>
        <v>0</v>
      </c>
      <c r="AB32" s="17">
        <f t="shared" si="4"/>
        <v>0</v>
      </c>
      <c r="AC32" s="17">
        <f t="shared" si="4"/>
        <v>0</v>
      </c>
      <c r="AD32" s="17">
        <f t="shared" si="4"/>
        <v>0</v>
      </c>
      <c r="AE32" s="17">
        <f t="shared" si="4"/>
        <v>0</v>
      </c>
      <c r="AF32" s="17">
        <f t="shared" si="4"/>
        <v>0</v>
      </c>
      <c r="AG32" s="17">
        <f t="shared" si="4"/>
        <v>0</v>
      </c>
      <c r="AH32" s="17">
        <f t="shared" si="4"/>
        <v>0</v>
      </c>
      <c r="AI32" s="17">
        <f t="shared" si="4"/>
        <v>0</v>
      </c>
      <c r="AJ32" s="17">
        <f t="shared" si="4"/>
        <v>0</v>
      </c>
    </row>
    <row r="33" spans="2:36" ht="15.75" thickBot="1">
      <c r="B33" s="338"/>
      <c r="C33" s="336" t="s">
        <v>22</v>
      </c>
      <c r="D33" s="271" t="s">
        <v>34</v>
      </c>
      <c r="E33" s="269"/>
      <c r="F33" s="270"/>
      <c r="G33" s="270"/>
      <c r="H33" s="270"/>
      <c r="I33" s="270"/>
      <c r="J33" s="270"/>
      <c r="K33" s="270"/>
      <c r="L33" s="270"/>
      <c r="M33" s="270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11">
        <f t="shared" si="0"/>
        <v>0</v>
      </c>
    </row>
    <row r="34" spans="2:36" ht="15.75" thickBot="1">
      <c r="B34" s="338"/>
      <c r="C34" s="336"/>
      <c r="D34" s="271" t="s">
        <v>35</v>
      </c>
      <c r="E34" s="269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11">
        <f t="shared" si="0"/>
        <v>0</v>
      </c>
    </row>
    <row r="35" spans="2:36" ht="15.75" thickBot="1">
      <c r="B35" s="338"/>
      <c r="C35" s="336"/>
      <c r="D35" s="271" t="s">
        <v>52</v>
      </c>
      <c r="E35" s="269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11">
        <f t="shared" si="0"/>
        <v>0</v>
      </c>
    </row>
    <row r="36" spans="2:36" ht="15.75" thickBot="1">
      <c r="B36" s="338"/>
      <c r="C36" s="336"/>
      <c r="D36" s="16" t="s">
        <v>17</v>
      </c>
      <c r="E36" s="17">
        <f>SUM(E33:E35)</f>
        <v>0</v>
      </c>
      <c r="F36" s="17">
        <f t="shared" ref="F36:AJ36" si="5">SUM(F33:F35)</f>
        <v>0</v>
      </c>
      <c r="G36" s="17">
        <f t="shared" si="5"/>
        <v>0</v>
      </c>
      <c r="H36" s="17">
        <f t="shared" si="5"/>
        <v>0</v>
      </c>
      <c r="I36" s="17">
        <f t="shared" si="5"/>
        <v>0</v>
      </c>
      <c r="J36" s="17">
        <f t="shared" si="5"/>
        <v>0</v>
      </c>
      <c r="K36" s="17">
        <f t="shared" si="5"/>
        <v>0</v>
      </c>
      <c r="L36" s="17">
        <f t="shared" si="5"/>
        <v>0</v>
      </c>
      <c r="M36" s="17">
        <f t="shared" si="5"/>
        <v>0</v>
      </c>
      <c r="N36" s="17">
        <f t="shared" si="5"/>
        <v>0</v>
      </c>
      <c r="O36" s="17">
        <f t="shared" si="5"/>
        <v>0</v>
      </c>
      <c r="P36" s="17">
        <f t="shared" si="5"/>
        <v>0</v>
      </c>
      <c r="Q36" s="17">
        <f t="shared" si="5"/>
        <v>0</v>
      </c>
      <c r="R36" s="17">
        <f t="shared" si="5"/>
        <v>0</v>
      </c>
      <c r="S36" s="17">
        <f t="shared" si="5"/>
        <v>0</v>
      </c>
      <c r="T36" s="17">
        <f t="shared" si="5"/>
        <v>0</v>
      </c>
      <c r="U36" s="17">
        <f t="shared" si="5"/>
        <v>0</v>
      </c>
      <c r="V36" s="17">
        <f t="shared" si="5"/>
        <v>0</v>
      </c>
      <c r="W36" s="17">
        <f t="shared" si="5"/>
        <v>0</v>
      </c>
      <c r="X36" s="17">
        <f t="shared" si="5"/>
        <v>0</v>
      </c>
      <c r="Y36" s="17">
        <f t="shared" si="5"/>
        <v>0</v>
      </c>
      <c r="Z36" s="17">
        <f t="shared" si="5"/>
        <v>0</v>
      </c>
      <c r="AA36" s="17">
        <f t="shared" si="5"/>
        <v>0</v>
      </c>
      <c r="AB36" s="17">
        <f t="shared" si="5"/>
        <v>0</v>
      </c>
      <c r="AC36" s="17">
        <f t="shared" si="5"/>
        <v>0</v>
      </c>
      <c r="AD36" s="17">
        <f t="shared" si="5"/>
        <v>0</v>
      </c>
      <c r="AE36" s="17">
        <f t="shared" si="5"/>
        <v>0</v>
      </c>
      <c r="AF36" s="17">
        <f t="shared" si="5"/>
        <v>0</v>
      </c>
      <c r="AG36" s="17">
        <f t="shared" si="5"/>
        <v>0</v>
      </c>
      <c r="AH36" s="17">
        <f t="shared" si="5"/>
        <v>0</v>
      </c>
      <c r="AI36" s="17">
        <f t="shared" si="5"/>
        <v>0</v>
      </c>
      <c r="AJ36" s="17">
        <f t="shared" si="5"/>
        <v>0</v>
      </c>
    </row>
    <row r="37" spans="2:36" ht="15.75" thickBot="1">
      <c r="B37" s="338"/>
      <c r="C37" s="336" t="s">
        <v>58</v>
      </c>
      <c r="D37" s="274" t="s">
        <v>91</v>
      </c>
      <c r="E37" s="269"/>
      <c r="F37" s="270"/>
      <c r="G37" s="270"/>
      <c r="H37" s="270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11">
        <f t="shared" si="0"/>
        <v>0</v>
      </c>
    </row>
    <row r="38" spans="2:36" ht="15.75" thickBot="1">
      <c r="B38" s="338"/>
      <c r="C38" s="336"/>
      <c r="D38" s="271" t="s">
        <v>60</v>
      </c>
      <c r="E38" s="269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  <c r="AC38" s="270"/>
      <c r="AD38" s="270"/>
      <c r="AE38" s="270"/>
      <c r="AF38" s="270"/>
      <c r="AG38" s="270"/>
      <c r="AH38" s="270"/>
      <c r="AI38" s="270"/>
      <c r="AJ38" s="11">
        <f t="shared" si="0"/>
        <v>0</v>
      </c>
    </row>
    <row r="39" spans="2:36" ht="15.75" thickBot="1">
      <c r="B39" s="338"/>
      <c r="C39" s="336"/>
      <c r="D39" s="271" t="s">
        <v>61</v>
      </c>
      <c r="E39" s="269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0"/>
      <c r="AH39" s="270"/>
      <c r="AI39" s="270"/>
      <c r="AJ39" s="11">
        <f t="shared" si="0"/>
        <v>0</v>
      </c>
    </row>
    <row r="40" spans="2:36" ht="15.75" thickBot="1">
      <c r="B40" s="338"/>
      <c r="C40" s="336"/>
      <c r="D40" s="271" t="s">
        <v>62</v>
      </c>
      <c r="E40" s="269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270"/>
      <c r="V40" s="270"/>
      <c r="W40" s="270"/>
      <c r="X40" s="270"/>
      <c r="Y40" s="270"/>
      <c r="Z40" s="270"/>
      <c r="AA40" s="270"/>
      <c r="AB40" s="270"/>
      <c r="AC40" s="270"/>
      <c r="AD40" s="270"/>
      <c r="AE40" s="270"/>
      <c r="AF40" s="270"/>
      <c r="AG40" s="270"/>
      <c r="AH40" s="270"/>
      <c r="AI40" s="270"/>
      <c r="AJ40" s="11">
        <f t="shared" si="0"/>
        <v>0</v>
      </c>
    </row>
    <row r="41" spans="2:36" ht="15.75" thickBot="1">
      <c r="B41" s="338"/>
      <c r="C41" s="336"/>
      <c r="D41" s="271" t="s">
        <v>81</v>
      </c>
      <c r="E41" s="269"/>
      <c r="F41" s="270"/>
      <c r="G41" s="270"/>
      <c r="H41" s="270"/>
      <c r="I41" s="270"/>
      <c r="J41" s="270"/>
      <c r="K41" s="270"/>
      <c r="L41" s="270"/>
      <c r="M41" s="270"/>
      <c r="N41" s="270"/>
      <c r="O41" s="270"/>
      <c r="P41" s="270"/>
      <c r="Q41" s="27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  <c r="AC41" s="270"/>
      <c r="AD41" s="270"/>
      <c r="AE41" s="270"/>
      <c r="AF41" s="270"/>
      <c r="AG41" s="270"/>
      <c r="AH41" s="270"/>
      <c r="AI41" s="270"/>
      <c r="AJ41" s="11">
        <f t="shared" si="0"/>
        <v>0</v>
      </c>
    </row>
    <row r="42" spans="2:36" ht="15.75" thickBot="1">
      <c r="B42" s="338"/>
      <c r="C42" s="336"/>
      <c r="D42" s="271" t="s">
        <v>110</v>
      </c>
      <c r="E42" s="269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11">
        <f t="shared" si="0"/>
        <v>0</v>
      </c>
    </row>
    <row r="43" spans="2:36" ht="15.75" thickBot="1">
      <c r="B43" s="338"/>
      <c r="C43" s="336"/>
      <c r="D43" s="271" t="s">
        <v>52</v>
      </c>
      <c r="E43" s="269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69"/>
      <c r="Q43" s="269"/>
      <c r="R43" s="269"/>
      <c r="S43" s="269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11">
        <f t="shared" si="0"/>
        <v>0</v>
      </c>
    </row>
    <row r="44" spans="2:36" ht="15.75" thickBot="1">
      <c r="B44" s="338"/>
      <c r="C44" s="336"/>
      <c r="D44" s="16" t="s">
        <v>17</v>
      </c>
      <c r="E44" s="17">
        <f>SUM(E37:E43)</f>
        <v>0</v>
      </c>
      <c r="F44" s="17">
        <f t="shared" ref="F44:AJ44" si="6">SUM(F37:F43)</f>
        <v>0</v>
      </c>
      <c r="G44" s="17">
        <f t="shared" si="6"/>
        <v>0</v>
      </c>
      <c r="H44" s="17">
        <f t="shared" si="6"/>
        <v>0</v>
      </c>
      <c r="I44" s="17">
        <f t="shared" si="6"/>
        <v>0</v>
      </c>
      <c r="J44" s="17">
        <f t="shared" si="6"/>
        <v>0</v>
      </c>
      <c r="K44" s="17">
        <f t="shared" si="6"/>
        <v>0</v>
      </c>
      <c r="L44" s="17">
        <f t="shared" si="6"/>
        <v>0</v>
      </c>
      <c r="M44" s="17">
        <f t="shared" si="6"/>
        <v>0</v>
      </c>
      <c r="N44" s="17">
        <f t="shared" si="6"/>
        <v>0</v>
      </c>
      <c r="O44" s="17">
        <f t="shared" si="6"/>
        <v>0</v>
      </c>
      <c r="P44" s="17">
        <f t="shared" si="6"/>
        <v>0</v>
      </c>
      <c r="Q44" s="17">
        <f t="shared" si="6"/>
        <v>0</v>
      </c>
      <c r="R44" s="17">
        <f t="shared" si="6"/>
        <v>0</v>
      </c>
      <c r="S44" s="17">
        <f t="shared" si="6"/>
        <v>0</v>
      </c>
      <c r="T44" s="17">
        <f t="shared" si="6"/>
        <v>0</v>
      </c>
      <c r="U44" s="17">
        <f t="shared" si="6"/>
        <v>0</v>
      </c>
      <c r="V44" s="17">
        <f t="shared" si="6"/>
        <v>0</v>
      </c>
      <c r="W44" s="17">
        <f t="shared" si="6"/>
        <v>0</v>
      </c>
      <c r="X44" s="17">
        <f t="shared" si="6"/>
        <v>0</v>
      </c>
      <c r="Y44" s="17">
        <f t="shared" si="6"/>
        <v>0</v>
      </c>
      <c r="Z44" s="17">
        <f t="shared" si="6"/>
        <v>0</v>
      </c>
      <c r="AA44" s="17">
        <f t="shared" si="6"/>
        <v>0</v>
      </c>
      <c r="AB44" s="17">
        <f t="shared" si="6"/>
        <v>0</v>
      </c>
      <c r="AC44" s="17">
        <f t="shared" si="6"/>
        <v>0</v>
      </c>
      <c r="AD44" s="17">
        <f t="shared" si="6"/>
        <v>0</v>
      </c>
      <c r="AE44" s="17">
        <f t="shared" si="6"/>
        <v>0</v>
      </c>
      <c r="AF44" s="17">
        <f t="shared" si="6"/>
        <v>0</v>
      </c>
      <c r="AG44" s="17">
        <f t="shared" si="6"/>
        <v>0</v>
      </c>
      <c r="AH44" s="17">
        <f t="shared" si="6"/>
        <v>0</v>
      </c>
      <c r="AI44" s="17">
        <f t="shared" si="6"/>
        <v>0</v>
      </c>
      <c r="AJ44" s="17">
        <f t="shared" si="6"/>
        <v>0</v>
      </c>
    </row>
    <row r="45" spans="2:36" ht="15.75" thickBot="1">
      <c r="B45" s="338"/>
      <c r="C45" s="336" t="s">
        <v>36</v>
      </c>
      <c r="D45" s="271" t="s">
        <v>63</v>
      </c>
      <c r="E45" s="269"/>
      <c r="F45" s="270"/>
      <c r="G45" s="270"/>
      <c r="H45" s="270"/>
      <c r="I45" s="270"/>
      <c r="J45" s="270"/>
      <c r="K45" s="270"/>
      <c r="L45" s="270"/>
      <c r="M45" s="270"/>
      <c r="N45" s="270"/>
      <c r="O45" s="270"/>
      <c r="P45" s="270"/>
      <c r="Q45" s="270"/>
      <c r="R45" s="270"/>
      <c r="S45" s="270"/>
      <c r="T45" s="270"/>
      <c r="U45" s="270"/>
      <c r="V45" s="270"/>
      <c r="W45" s="270"/>
      <c r="X45" s="270"/>
      <c r="Y45" s="270"/>
      <c r="Z45" s="270"/>
      <c r="AA45" s="270"/>
      <c r="AB45" s="270"/>
      <c r="AC45" s="270"/>
      <c r="AD45" s="270"/>
      <c r="AE45" s="270"/>
      <c r="AF45" s="270"/>
      <c r="AG45" s="270"/>
      <c r="AH45" s="270"/>
      <c r="AI45" s="270"/>
      <c r="AJ45" s="11">
        <f t="shared" si="0"/>
        <v>0</v>
      </c>
    </row>
    <row r="46" spans="2:36" ht="15.75" thickBot="1">
      <c r="B46" s="338"/>
      <c r="C46" s="336"/>
      <c r="D46" s="271" t="s">
        <v>64</v>
      </c>
      <c r="E46" s="269"/>
      <c r="F46" s="270"/>
      <c r="G46" s="270"/>
      <c r="H46" s="270"/>
      <c r="I46" s="270"/>
      <c r="J46" s="270"/>
      <c r="K46" s="270"/>
      <c r="L46" s="270"/>
      <c r="M46" s="270"/>
      <c r="N46" s="270"/>
      <c r="O46" s="270"/>
      <c r="P46" s="270"/>
      <c r="Q46" s="270"/>
      <c r="R46" s="270"/>
      <c r="S46" s="270"/>
      <c r="T46" s="270"/>
      <c r="U46" s="270"/>
      <c r="V46" s="270"/>
      <c r="W46" s="270"/>
      <c r="X46" s="270"/>
      <c r="Y46" s="270"/>
      <c r="Z46" s="270"/>
      <c r="AA46" s="270"/>
      <c r="AB46" s="270"/>
      <c r="AC46" s="270"/>
      <c r="AD46" s="270"/>
      <c r="AE46" s="270"/>
      <c r="AF46" s="270"/>
      <c r="AG46" s="270"/>
      <c r="AH46" s="270"/>
      <c r="AI46" s="270"/>
      <c r="AJ46" s="11">
        <f t="shared" si="0"/>
        <v>0</v>
      </c>
    </row>
    <row r="47" spans="2:36" ht="15.75" thickBot="1">
      <c r="B47" s="338"/>
      <c r="C47" s="336"/>
      <c r="D47" s="271" t="s">
        <v>52</v>
      </c>
      <c r="E47" s="269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69"/>
      <c r="S47" s="269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11">
        <f t="shared" si="0"/>
        <v>0</v>
      </c>
    </row>
    <row r="48" spans="2:36" ht="15.75" thickBot="1">
      <c r="B48" s="338"/>
      <c r="C48" s="336"/>
      <c r="D48" s="16" t="s">
        <v>17</v>
      </c>
      <c r="E48" s="17">
        <f>SUM(E45:E47)</f>
        <v>0</v>
      </c>
      <c r="F48" s="17">
        <f t="shared" ref="F48:AJ48" si="7">SUM(F45:F47)</f>
        <v>0</v>
      </c>
      <c r="G48" s="17">
        <f t="shared" si="7"/>
        <v>0</v>
      </c>
      <c r="H48" s="17">
        <f t="shared" si="7"/>
        <v>0</v>
      </c>
      <c r="I48" s="17">
        <f t="shared" si="7"/>
        <v>0</v>
      </c>
      <c r="J48" s="17">
        <f t="shared" si="7"/>
        <v>0</v>
      </c>
      <c r="K48" s="17">
        <f t="shared" si="7"/>
        <v>0</v>
      </c>
      <c r="L48" s="17">
        <f t="shared" si="7"/>
        <v>0</v>
      </c>
      <c r="M48" s="17">
        <f t="shared" si="7"/>
        <v>0</v>
      </c>
      <c r="N48" s="17">
        <f t="shared" si="7"/>
        <v>0</v>
      </c>
      <c r="O48" s="17">
        <f t="shared" si="7"/>
        <v>0</v>
      </c>
      <c r="P48" s="17">
        <f t="shared" si="7"/>
        <v>0</v>
      </c>
      <c r="Q48" s="17">
        <f t="shared" si="7"/>
        <v>0</v>
      </c>
      <c r="R48" s="17">
        <f t="shared" si="7"/>
        <v>0</v>
      </c>
      <c r="S48" s="17">
        <f t="shared" si="7"/>
        <v>0</v>
      </c>
      <c r="T48" s="17">
        <f t="shared" si="7"/>
        <v>0</v>
      </c>
      <c r="U48" s="17">
        <f t="shared" si="7"/>
        <v>0</v>
      </c>
      <c r="V48" s="17">
        <f t="shared" si="7"/>
        <v>0</v>
      </c>
      <c r="W48" s="17">
        <f t="shared" si="7"/>
        <v>0</v>
      </c>
      <c r="X48" s="17">
        <f t="shared" si="7"/>
        <v>0</v>
      </c>
      <c r="Y48" s="17">
        <f t="shared" si="7"/>
        <v>0</v>
      </c>
      <c r="Z48" s="17">
        <f t="shared" si="7"/>
        <v>0</v>
      </c>
      <c r="AA48" s="17">
        <f t="shared" si="7"/>
        <v>0</v>
      </c>
      <c r="AB48" s="17">
        <f t="shared" si="7"/>
        <v>0</v>
      </c>
      <c r="AC48" s="17">
        <f t="shared" si="7"/>
        <v>0</v>
      </c>
      <c r="AD48" s="17">
        <f t="shared" si="7"/>
        <v>0</v>
      </c>
      <c r="AE48" s="17">
        <f t="shared" si="7"/>
        <v>0</v>
      </c>
      <c r="AF48" s="17">
        <f t="shared" si="7"/>
        <v>0</v>
      </c>
      <c r="AG48" s="17">
        <f t="shared" si="7"/>
        <v>0</v>
      </c>
      <c r="AH48" s="17">
        <f t="shared" si="7"/>
        <v>0</v>
      </c>
      <c r="AI48" s="17">
        <f t="shared" si="7"/>
        <v>0</v>
      </c>
      <c r="AJ48" s="17">
        <f t="shared" si="7"/>
        <v>0</v>
      </c>
    </row>
    <row r="49" spans="2:36" ht="15.75" thickBot="1">
      <c r="B49" s="338"/>
      <c r="C49" s="336" t="s">
        <v>65</v>
      </c>
      <c r="D49" s="271" t="s">
        <v>66</v>
      </c>
      <c r="E49" s="269"/>
      <c r="F49" s="270"/>
      <c r="G49" s="270"/>
      <c r="H49" s="270"/>
      <c r="I49" s="270"/>
      <c r="J49" s="270"/>
      <c r="K49" s="270"/>
      <c r="L49" s="270"/>
      <c r="M49" s="270"/>
      <c r="N49" s="270"/>
      <c r="O49" s="270"/>
      <c r="P49" s="270"/>
      <c r="Q49" s="270"/>
      <c r="R49" s="270"/>
      <c r="S49" s="270"/>
      <c r="T49" s="270"/>
      <c r="U49" s="270"/>
      <c r="V49" s="270"/>
      <c r="W49" s="270"/>
      <c r="X49" s="270"/>
      <c r="Y49" s="270"/>
      <c r="Z49" s="270"/>
      <c r="AA49" s="270"/>
      <c r="AB49" s="270"/>
      <c r="AC49" s="270"/>
      <c r="AD49" s="270"/>
      <c r="AE49" s="270"/>
      <c r="AF49" s="270"/>
      <c r="AG49" s="270"/>
      <c r="AH49" s="270"/>
      <c r="AI49" s="270"/>
      <c r="AJ49" s="11">
        <f t="shared" si="0"/>
        <v>0</v>
      </c>
    </row>
    <row r="50" spans="2:36" ht="15.75" thickBot="1">
      <c r="B50" s="338"/>
      <c r="C50" s="336"/>
      <c r="D50" s="271" t="s">
        <v>67</v>
      </c>
      <c r="E50" s="269"/>
      <c r="F50" s="270"/>
      <c r="G50" s="270"/>
      <c r="H50" s="270"/>
      <c r="I50" s="270"/>
      <c r="J50" s="270"/>
      <c r="K50" s="270"/>
      <c r="L50" s="270"/>
      <c r="M50" s="270"/>
      <c r="N50" s="270"/>
      <c r="O50" s="270"/>
      <c r="P50" s="270"/>
      <c r="Q50" s="270"/>
      <c r="R50" s="270"/>
      <c r="S50" s="270"/>
      <c r="T50" s="270"/>
      <c r="U50" s="270"/>
      <c r="V50" s="270"/>
      <c r="W50" s="270"/>
      <c r="X50" s="270"/>
      <c r="Y50" s="270"/>
      <c r="Z50" s="270"/>
      <c r="AA50" s="270"/>
      <c r="AB50" s="270"/>
      <c r="AC50" s="270"/>
      <c r="AD50" s="270"/>
      <c r="AE50" s="270"/>
      <c r="AF50" s="270"/>
      <c r="AG50" s="270"/>
      <c r="AH50" s="270"/>
      <c r="AI50" s="270"/>
      <c r="AJ50" s="11">
        <f t="shared" si="0"/>
        <v>0</v>
      </c>
    </row>
    <row r="51" spans="2:36" ht="15.75" thickBot="1">
      <c r="B51" s="338"/>
      <c r="C51" s="336"/>
      <c r="D51" s="271" t="s">
        <v>52</v>
      </c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69"/>
      <c r="Q51" s="269"/>
      <c r="R51" s="269"/>
      <c r="S51" s="269"/>
      <c r="T51" s="269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11">
        <f t="shared" si="0"/>
        <v>0</v>
      </c>
    </row>
    <row r="52" spans="2:36" ht="15.75" thickBot="1">
      <c r="B52" s="338"/>
      <c r="C52" s="336"/>
      <c r="D52" s="16" t="s">
        <v>17</v>
      </c>
      <c r="E52" s="17">
        <f>SUM(E49:E51)</f>
        <v>0</v>
      </c>
      <c r="F52" s="17">
        <f t="shared" ref="F52:AJ52" si="8">SUM(F49:F51)</f>
        <v>0</v>
      </c>
      <c r="G52" s="17">
        <f t="shared" si="8"/>
        <v>0</v>
      </c>
      <c r="H52" s="17">
        <f t="shared" si="8"/>
        <v>0</v>
      </c>
      <c r="I52" s="17">
        <f t="shared" si="8"/>
        <v>0</v>
      </c>
      <c r="J52" s="17">
        <f t="shared" si="8"/>
        <v>0</v>
      </c>
      <c r="K52" s="17">
        <f t="shared" si="8"/>
        <v>0</v>
      </c>
      <c r="L52" s="17">
        <f t="shared" si="8"/>
        <v>0</v>
      </c>
      <c r="M52" s="17">
        <f t="shared" si="8"/>
        <v>0</v>
      </c>
      <c r="N52" s="17">
        <f t="shared" si="8"/>
        <v>0</v>
      </c>
      <c r="O52" s="17">
        <f t="shared" si="8"/>
        <v>0</v>
      </c>
      <c r="P52" s="17">
        <f t="shared" si="8"/>
        <v>0</v>
      </c>
      <c r="Q52" s="17">
        <f t="shared" si="8"/>
        <v>0</v>
      </c>
      <c r="R52" s="17">
        <f t="shared" si="8"/>
        <v>0</v>
      </c>
      <c r="S52" s="17">
        <f t="shared" si="8"/>
        <v>0</v>
      </c>
      <c r="T52" s="17">
        <f t="shared" si="8"/>
        <v>0</v>
      </c>
      <c r="U52" s="17">
        <f t="shared" si="8"/>
        <v>0</v>
      </c>
      <c r="V52" s="17">
        <f t="shared" si="8"/>
        <v>0</v>
      </c>
      <c r="W52" s="17">
        <f t="shared" si="8"/>
        <v>0</v>
      </c>
      <c r="X52" s="17">
        <f t="shared" si="8"/>
        <v>0</v>
      </c>
      <c r="Y52" s="17">
        <f t="shared" si="8"/>
        <v>0</v>
      </c>
      <c r="Z52" s="17">
        <f t="shared" si="8"/>
        <v>0</v>
      </c>
      <c r="AA52" s="17">
        <f t="shared" si="8"/>
        <v>0</v>
      </c>
      <c r="AB52" s="17">
        <f t="shared" si="8"/>
        <v>0</v>
      </c>
      <c r="AC52" s="17">
        <f t="shared" si="8"/>
        <v>0</v>
      </c>
      <c r="AD52" s="17">
        <f t="shared" si="8"/>
        <v>0</v>
      </c>
      <c r="AE52" s="17">
        <f t="shared" si="8"/>
        <v>0</v>
      </c>
      <c r="AF52" s="17">
        <f t="shared" si="8"/>
        <v>0</v>
      </c>
      <c r="AG52" s="17">
        <f t="shared" si="8"/>
        <v>0</v>
      </c>
      <c r="AH52" s="17">
        <f t="shared" si="8"/>
        <v>0</v>
      </c>
      <c r="AI52" s="17">
        <f t="shared" si="8"/>
        <v>0</v>
      </c>
      <c r="AJ52" s="17">
        <f t="shared" si="8"/>
        <v>0</v>
      </c>
    </row>
    <row r="53" spans="2:36" ht="15.75" thickBot="1">
      <c r="B53" s="338"/>
      <c r="C53" s="336" t="s">
        <v>68</v>
      </c>
      <c r="D53" s="271" t="s">
        <v>69</v>
      </c>
      <c r="E53" s="269"/>
      <c r="F53" s="270"/>
      <c r="G53" s="270"/>
      <c r="H53" s="270"/>
      <c r="I53" s="270"/>
      <c r="J53" s="270"/>
      <c r="K53" s="270"/>
      <c r="L53" s="270"/>
      <c r="M53" s="270"/>
      <c r="N53" s="270"/>
      <c r="O53" s="270"/>
      <c r="P53" s="270"/>
      <c r="Q53" s="270"/>
      <c r="R53" s="270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  <c r="AC53" s="270"/>
      <c r="AD53" s="270"/>
      <c r="AE53" s="270"/>
      <c r="AF53" s="270"/>
      <c r="AG53" s="270"/>
      <c r="AH53" s="270"/>
      <c r="AI53" s="270"/>
      <c r="AJ53" s="11">
        <f t="shared" si="0"/>
        <v>0</v>
      </c>
    </row>
    <row r="54" spans="2:36" ht="15.75" thickBot="1">
      <c r="B54" s="338"/>
      <c r="C54" s="336"/>
      <c r="D54" s="271" t="s">
        <v>70</v>
      </c>
      <c r="E54" s="269"/>
      <c r="F54" s="270"/>
      <c r="G54" s="270"/>
      <c r="H54" s="270"/>
      <c r="I54" s="270"/>
      <c r="J54" s="270"/>
      <c r="K54" s="270"/>
      <c r="L54" s="270"/>
      <c r="M54" s="270"/>
      <c r="N54" s="270"/>
      <c r="O54" s="270"/>
      <c r="P54" s="270"/>
      <c r="Q54" s="270"/>
      <c r="R54" s="270"/>
      <c r="S54" s="270"/>
      <c r="T54" s="270"/>
      <c r="U54" s="270"/>
      <c r="V54" s="270"/>
      <c r="W54" s="270"/>
      <c r="X54" s="270"/>
      <c r="Y54" s="270"/>
      <c r="Z54" s="270"/>
      <c r="AA54" s="270"/>
      <c r="AB54" s="270"/>
      <c r="AC54" s="270"/>
      <c r="AD54" s="270"/>
      <c r="AE54" s="270"/>
      <c r="AF54" s="270"/>
      <c r="AG54" s="270"/>
      <c r="AH54" s="270"/>
      <c r="AI54" s="270"/>
      <c r="AJ54" s="11">
        <f t="shared" si="0"/>
        <v>0</v>
      </c>
    </row>
    <row r="55" spans="2:36" ht="15.75" thickBot="1">
      <c r="B55" s="338"/>
      <c r="C55" s="336"/>
      <c r="D55" s="271" t="s">
        <v>71</v>
      </c>
      <c r="E55" s="269"/>
      <c r="F55" s="270"/>
      <c r="G55" s="270"/>
      <c r="H55" s="270"/>
      <c r="I55" s="270"/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T55" s="270"/>
      <c r="U55" s="270"/>
      <c r="V55" s="270"/>
      <c r="W55" s="270"/>
      <c r="X55" s="270"/>
      <c r="Y55" s="270"/>
      <c r="Z55" s="270"/>
      <c r="AA55" s="270"/>
      <c r="AB55" s="270"/>
      <c r="AC55" s="270"/>
      <c r="AD55" s="270"/>
      <c r="AE55" s="270"/>
      <c r="AF55" s="270"/>
      <c r="AG55" s="270"/>
      <c r="AH55" s="270"/>
      <c r="AI55" s="270"/>
      <c r="AJ55" s="11">
        <f t="shared" si="0"/>
        <v>0</v>
      </c>
    </row>
    <row r="56" spans="2:36" ht="15.75" thickBot="1">
      <c r="B56" s="338"/>
      <c r="C56" s="336"/>
      <c r="D56" s="271" t="s">
        <v>52</v>
      </c>
      <c r="E56" s="269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269"/>
      <c r="Q56" s="269"/>
      <c r="R56" s="269"/>
      <c r="S56" s="269"/>
      <c r="T56" s="269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11">
        <f t="shared" si="0"/>
        <v>0</v>
      </c>
    </row>
    <row r="57" spans="2:36" ht="15.75" thickBot="1">
      <c r="B57" s="338"/>
      <c r="C57" s="336"/>
      <c r="D57" s="16" t="s">
        <v>17</v>
      </c>
      <c r="E57" s="17">
        <f>SUM(E53:E56)</f>
        <v>0</v>
      </c>
      <c r="F57" s="17">
        <f t="shared" ref="F57:AJ57" si="9">SUM(F53:F56)</f>
        <v>0</v>
      </c>
      <c r="G57" s="17">
        <f t="shared" si="9"/>
        <v>0</v>
      </c>
      <c r="H57" s="17">
        <f t="shared" si="9"/>
        <v>0</v>
      </c>
      <c r="I57" s="17">
        <f t="shared" si="9"/>
        <v>0</v>
      </c>
      <c r="J57" s="17">
        <f t="shared" si="9"/>
        <v>0</v>
      </c>
      <c r="K57" s="17">
        <f t="shared" si="9"/>
        <v>0</v>
      </c>
      <c r="L57" s="17">
        <f t="shared" si="9"/>
        <v>0</v>
      </c>
      <c r="M57" s="17">
        <f t="shared" si="9"/>
        <v>0</v>
      </c>
      <c r="N57" s="17">
        <f t="shared" si="9"/>
        <v>0</v>
      </c>
      <c r="O57" s="17">
        <f t="shared" si="9"/>
        <v>0</v>
      </c>
      <c r="P57" s="17">
        <f t="shared" si="9"/>
        <v>0</v>
      </c>
      <c r="Q57" s="17">
        <f t="shared" si="9"/>
        <v>0</v>
      </c>
      <c r="R57" s="17">
        <f t="shared" si="9"/>
        <v>0</v>
      </c>
      <c r="S57" s="17">
        <f t="shared" si="9"/>
        <v>0</v>
      </c>
      <c r="T57" s="17">
        <f t="shared" si="9"/>
        <v>0</v>
      </c>
      <c r="U57" s="17">
        <f t="shared" si="9"/>
        <v>0</v>
      </c>
      <c r="V57" s="17">
        <f t="shared" si="9"/>
        <v>0</v>
      </c>
      <c r="W57" s="17">
        <f t="shared" si="9"/>
        <v>0</v>
      </c>
      <c r="X57" s="17">
        <f t="shared" si="9"/>
        <v>0</v>
      </c>
      <c r="Y57" s="17">
        <f t="shared" si="9"/>
        <v>0</v>
      </c>
      <c r="Z57" s="17">
        <f t="shared" si="9"/>
        <v>0</v>
      </c>
      <c r="AA57" s="17">
        <f t="shared" si="9"/>
        <v>0</v>
      </c>
      <c r="AB57" s="17">
        <f t="shared" si="9"/>
        <v>0</v>
      </c>
      <c r="AC57" s="17">
        <f t="shared" si="9"/>
        <v>0</v>
      </c>
      <c r="AD57" s="17">
        <f t="shared" si="9"/>
        <v>0</v>
      </c>
      <c r="AE57" s="17">
        <f t="shared" si="9"/>
        <v>0</v>
      </c>
      <c r="AF57" s="17">
        <f t="shared" si="9"/>
        <v>0</v>
      </c>
      <c r="AG57" s="17">
        <f t="shared" si="9"/>
        <v>0</v>
      </c>
      <c r="AH57" s="17">
        <f t="shared" si="9"/>
        <v>0</v>
      </c>
      <c r="AI57" s="17">
        <f t="shared" si="9"/>
        <v>0</v>
      </c>
      <c r="AJ57" s="17">
        <f t="shared" si="9"/>
        <v>0</v>
      </c>
    </row>
    <row r="58" spans="2:36" ht="15.75" thickBot="1">
      <c r="B58" s="338"/>
      <c r="C58" s="336" t="s">
        <v>107</v>
      </c>
      <c r="D58" s="275" t="s">
        <v>88</v>
      </c>
      <c r="E58" s="269"/>
      <c r="F58" s="270"/>
      <c r="G58" s="270"/>
      <c r="H58" s="270"/>
      <c r="I58" s="270"/>
      <c r="J58" s="270"/>
      <c r="K58" s="270"/>
      <c r="L58" s="270"/>
      <c r="M58" s="270"/>
      <c r="N58" s="270"/>
      <c r="O58" s="270"/>
      <c r="P58" s="270"/>
      <c r="Q58" s="270"/>
      <c r="R58" s="270"/>
      <c r="S58" s="270"/>
      <c r="T58" s="270"/>
      <c r="U58" s="270"/>
      <c r="V58" s="270"/>
      <c r="W58" s="270"/>
      <c r="X58" s="270"/>
      <c r="Y58" s="270"/>
      <c r="Z58" s="270"/>
      <c r="AA58" s="270"/>
      <c r="AB58" s="270"/>
      <c r="AC58" s="270"/>
      <c r="AD58" s="270"/>
      <c r="AE58" s="270"/>
      <c r="AF58" s="270"/>
      <c r="AG58" s="270"/>
      <c r="AH58" s="270"/>
      <c r="AI58" s="270"/>
      <c r="AJ58" s="11">
        <f t="shared" si="0"/>
        <v>0</v>
      </c>
    </row>
    <row r="59" spans="2:36" ht="15.75" thickBot="1">
      <c r="B59" s="338"/>
      <c r="C59" s="336"/>
      <c r="D59" s="275" t="s">
        <v>89</v>
      </c>
      <c r="E59" s="269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  <c r="AC59" s="270"/>
      <c r="AD59" s="270"/>
      <c r="AE59" s="270"/>
      <c r="AF59" s="270"/>
      <c r="AG59" s="270"/>
      <c r="AH59" s="270"/>
      <c r="AI59" s="270"/>
      <c r="AJ59" s="11">
        <f t="shared" si="0"/>
        <v>0</v>
      </c>
    </row>
    <row r="60" spans="2:36" ht="15.75" thickBot="1">
      <c r="B60" s="338"/>
      <c r="C60" s="336"/>
      <c r="D60" s="275" t="s">
        <v>52</v>
      </c>
      <c r="E60" s="269"/>
      <c r="F60" s="276"/>
      <c r="G60" s="269"/>
      <c r="H60" s="269"/>
      <c r="I60" s="269"/>
      <c r="J60" s="269"/>
      <c r="K60" s="269"/>
      <c r="L60" s="269"/>
      <c r="M60" s="269"/>
      <c r="N60" s="269"/>
      <c r="O60" s="269"/>
      <c r="P60" s="269"/>
      <c r="Q60" s="269"/>
      <c r="R60" s="269"/>
      <c r="S60" s="269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11">
        <f t="shared" si="0"/>
        <v>0</v>
      </c>
    </row>
    <row r="61" spans="2:36" ht="15.75" thickBot="1">
      <c r="B61" s="338"/>
      <c r="C61" s="336"/>
      <c r="D61" s="18" t="s">
        <v>17</v>
      </c>
      <c r="E61" s="17">
        <f>SUM(E58:E60)</f>
        <v>0</v>
      </c>
      <c r="F61" s="17">
        <f t="shared" ref="F61:AJ61" si="10">SUM(F58:F60)</f>
        <v>0</v>
      </c>
      <c r="G61" s="17">
        <f t="shared" si="10"/>
        <v>0</v>
      </c>
      <c r="H61" s="17">
        <f t="shared" si="10"/>
        <v>0</v>
      </c>
      <c r="I61" s="17">
        <f t="shared" si="10"/>
        <v>0</v>
      </c>
      <c r="J61" s="17">
        <f t="shared" si="10"/>
        <v>0</v>
      </c>
      <c r="K61" s="17">
        <f t="shared" si="10"/>
        <v>0</v>
      </c>
      <c r="L61" s="17">
        <f t="shared" si="10"/>
        <v>0</v>
      </c>
      <c r="M61" s="17">
        <f t="shared" si="10"/>
        <v>0</v>
      </c>
      <c r="N61" s="17">
        <f t="shared" si="10"/>
        <v>0</v>
      </c>
      <c r="O61" s="17">
        <f t="shared" si="10"/>
        <v>0</v>
      </c>
      <c r="P61" s="17">
        <f t="shared" si="10"/>
        <v>0</v>
      </c>
      <c r="Q61" s="17">
        <f t="shared" si="10"/>
        <v>0</v>
      </c>
      <c r="R61" s="17">
        <f t="shared" si="10"/>
        <v>0</v>
      </c>
      <c r="S61" s="17">
        <f t="shared" si="10"/>
        <v>0</v>
      </c>
      <c r="T61" s="17">
        <f t="shared" si="10"/>
        <v>0</v>
      </c>
      <c r="U61" s="17">
        <f t="shared" si="10"/>
        <v>0</v>
      </c>
      <c r="V61" s="17">
        <f t="shared" si="10"/>
        <v>0</v>
      </c>
      <c r="W61" s="17">
        <f t="shared" si="10"/>
        <v>0</v>
      </c>
      <c r="X61" s="17">
        <f t="shared" si="10"/>
        <v>0</v>
      </c>
      <c r="Y61" s="17">
        <f t="shared" si="10"/>
        <v>0</v>
      </c>
      <c r="Z61" s="17">
        <f t="shared" si="10"/>
        <v>0</v>
      </c>
      <c r="AA61" s="17">
        <f t="shared" si="10"/>
        <v>0</v>
      </c>
      <c r="AB61" s="17">
        <f t="shared" si="10"/>
        <v>0</v>
      </c>
      <c r="AC61" s="17">
        <f t="shared" si="10"/>
        <v>0</v>
      </c>
      <c r="AD61" s="17">
        <f t="shared" si="10"/>
        <v>0</v>
      </c>
      <c r="AE61" s="17">
        <f t="shared" si="10"/>
        <v>0</v>
      </c>
      <c r="AF61" s="17">
        <f t="shared" si="10"/>
        <v>0</v>
      </c>
      <c r="AG61" s="17">
        <f t="shared" si="10"/>
        <v>0</v>
      </c>
      <c r="AH61" s="17">
        <f t="shared" si="10"/>
        <v>0</v>
      </c>
      <c r="AI61" s="17">
        <f t="shared" si="10"/>
        <v>0</v>
      </c>
      <c r="AJ61" s="17">
        <f t="shared" si="10"/>
        <v>0</v>
      </c>
    </row>
    <row r="62" spans="2:36" ht="15.75" thickBot="1">
      <c r="B62" s="338"/>
      <c r="C62" s="336" t="s">
        <v>72</v>
      </c>
      <c r="D62" s="275" t="s">
        <v>73</v>
      </c>
      <c r="E62" s="269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0"/>
      <c r="T62" s="270"/>
      <c r="U62" s="270"/>
      <c r="V62" s="270"/>
      <c r="W62" s="270"/>
      <c r="X62" s="270"/>
      <c r="Y62" s="270"/>
      <c r="Z62" s="270"/>
      <c r="AA62" s="270"/>
      <c r="AB62" s="270"/>
      <c r="AC62" s="270"/>
      <c r="AD62" s="270"/>
      <c r="AE62" s="270"/>
      <c r="AF62" s="270"/>
      <c r="AG62" s="270"/>
      <c r="AH62" s="270"/>
      <c r="AI62" s="270"/>
      <c r="AJ62" s="11">
        <f t="shared" si="0"/>
        <v>0</v>
      </c>
    </row>
    <row r="63" spans="2:36" ht="15.75" thickBot="1">
      <c r="B63" s="338"/>
      <c r="C63" s="336"/>
      <c r="D63" s="269" t="s">
        <v>56</v>
      </c>
      <c r="E63" s="270"/>
      <c r="F63" s="270"/>
      <c r="G63" s="270"/>
      <c r="H63" s="270"/>
      <c r="I63" s="270"/>
      <c r="J63" s="270"/>
      <c r="K63" s="270"/>
      <c r="L63" s="270"/>
      <c r="M63" s="270"/>
      <c r="N63" s="270"/>
      <c r="O63" s="270"/>
      <c r="P63" s="270"/>
      <c r="Q63" s="270"/>
      <c r="R63" s="270"/>
      <c r="S63" s="270"/>
      <c r="T63" s="270"/>
      <c r="U63" s="270"/>
      <c r="V63" s="270"/>
      <c r="W63" s="270"/>
      <c r="X63" s="270"/>
      <c r="Y63" s="270"/>
      <c r="Z63" s="270"/>
      <c r="AA63" s="270"/>
      <c r="AB63" s="270"/>
      <c r="AC63" s="270"/>
      <c r="AD63" s="270"/>
      <c r="AE63" s="270"/>
      <c r="AF63" s="270"/>
      <c r="AG63" s="270"/>
      <c r="AH63" s="270"/>
      <c r="AI63" s="270"/>
      <c r="AJ63" s="11">
        <f t="shared" si="0"/>
        <v>0</v>
      </c>
    </row>
    <row r="64" spans="2:36" ht="15.75" thickBot="1">
      <c r="B64" s="338"/>
      <c r="C64" s="336"/>
      <c r="D64" s="269" t="s">
        <v>52</v>
      </c>
      <c r="E64" s="270"/>
      <c r="F64" s="270"/>
      <c r="G64" s="270"/>
      <c r="H64" s="270"/>
      <c r="I64" s="270"/>
      <c r="J64" s="270"/>
      <c r="K64" s="270"/>
      <c r="L64" s="270"/>
      <c r="M64" s="270"/>
      <c r="N64" s="270"/>
      <c r="O64" s="270"/>
      <c r="P64" s="270"/>
      <c r="Q64" s="270"/>
      <c r="R64" s="270"/>
      <c r="S64" s="270"/>
      <c r="T64" s="270"/>
      <c r="U64" s="270"/>
      <c r="V64" s="270"/>
      <c r="W64" s="270"/>
      <c r="X64" s="270"/>
      <c r="Y64" s="270"/>
      <c r="Z64" s="270"/>
      <c r="AA64" s="270"/>
      <c r="AB64" s="270"/>
      <c r="AC64" s="270"/>
      <c r="AD64" s="270"/>
      <c r="AE64" s="270"/>
      <c r="AF64" s="270"/>
      <c r="AG64" s="270"/>
      <c r="AH64" s="270"/>
      <c r="AI64" s="270"/>
      <c r="AJ64" s="11">
        <f t="shared" si="0"/>
        <v>0</v>
      </c>
    </row>
    <row r="65" spans="2:36" ht="15.75" thickBot="1">
      <c r="B65" s="338"/>
      <c r="C65" s="336"/>
      <c r="D65" s="17" t="s">
        <v>17</v>
      </c>
      <c r="E65" s="19">
        <f>SUM(E62:E64)</f>
        <v>0</v>
      </c>
      <c r="F65" s="19">
        <f t="shared" ref="F65:AJ65" si="11">SUM(F62:F64)</f>
        <v>0</v>
      </c>
      <c r="G65" s="19">
        <f t="shared" si="11"/>
        <v>0</v>
      </c>
      <c r="H65" s="19">
        <f t="shared" si="11"/>
        <v>0</v>
      </c>
      <c r="I65" s="19">
        <f t="shared" si="11"/>
        <v>0</v>
      </c>
      <c r="J65" s="19">
        <f t="shared" si="11"/>
        <v>0</v>
      </c>
      <c r="K65" s="19">
        <f t="shared" si="11"/>
        <v>0</v>
      </c>
      <c r="L65" s="19">
        <f t="shared" si="11"/>
        <v>0</v>
      </c>
      <c r="M65" s="19">
        <f t="shared" si="11"/>
        <v>0</v>
      </c>
      <c r="N65" s="19">
        <f t="shared" si="11"/>
        <v>0</v>
      </c>
      <c r="O65" s="19">
        <f t="shared" si="11"/>
        <v>0</v>
      </c>
      <c r="P65" s="19">
        <f t="shared" si="11"/>
        <v>0</v>
      </c>
      <c r="Q65" s="19">
        <f t="shared" si="11"/>
        <v>0</v>
      </c>
      <c r="R65" s="19">
        <f t="shared" si="11"/>
        <v>0</v>
      </c>
      <c r="S65" s="19">
        <f t="shared" si="11"/>
        <v>0</v>
      </c>
      <c r="T65" s="19">
        <f t="shared" si="11"/>
        <v>0</v>
      </c>
      <c r="U65" s="19">
        <f t="shared" si="11"/>
        <v>0</v>
      </c>
      <c r="V65" s="19">
        <f t="shared" si="11"/>
        <v>0</v>
      </c>
      <c r="W65" s="19">
        <f t="shared" si="11"/>
        <v>0</v>
      </c>
      <c r="X65" s="19">
        <f t="shared" si="11"/>
        <v>0</v>
      </c>
      <c r="Y65" s="19">
        <f t="shared" si="11"/>
        <v>0</v>
      </c>
      <c r="Z65" s="19">
        <f t="shared" si="11"/>
        <v>0</v>
      </c>
      <c r="AA65" s="19">
        <f t="shared" si="11"/>
        <v>0</v>
      </c>
      <c r="AB65" s="19">
        <f t="shared" si="11"/>
        <v>0</v>
      </c>
      <c r="AC65" s="19">
        <f t="shared" si="11"/>
        <v>0</v>
      </c>
      <c r="AD65" s="19">
        <f t="shared" si="11"/>
        <v>0</v>
      </c>
      <c r="AE65" s="19">
        <f t="shared" si="11"/>
        <v>0</v>
      </c>
      <c r="AF65" s="19">
        <f t="shared" si="11"/>
        <v>0</v>
      </c>
      <c r="AG65" s="19">
        <f t="shared" si="11"/>
        <v>0</v>
      </c>
      <c r="AH65" s="19">
        <f t="shared" si="11"/>
        <v>0</v>
      </c>
      <c r="AI65" s="19">
        <f t="shared" si="11"/>
        <v>0</v>
      </c>
      <c r="AJ65" s="19">
        <f t="shared" si="11"/>
        <v>0</v>
      </c>
    </row>
    <row r="66" spans="2:36">
      <c r="B66" s="5"/>
      <c r="C66" s="5"/>
      <c r="D66" s="14" t="s">
        <v>104</v>
      </c>
      <c r="E66" s="14">
        <f t="shared" ref="E66:AI66" si="12">SUM(E13,E23,E27,E32,E36,E44,E48,E52,E57,E61,E65)</f>
        <v>0</v>
      </c>
      <c r="F66" s="14">
        <f t="shared" si="12"/>
        <v>0</v>
      </c>
      <c r="G66" s="14">
        <f t="shared" si="12"/>
        <v>0</v>
      </c>
      <c r="H66" s="14">
        <f t="shared" si="12"/>
        <v>0</v>
      </c>
      <c r="I66" s="14">
        <f t="shared" si="12"/>
        <v>0</v>
      </c>
      <c r="J66" s="14">
        <f t="shared" si="12"/>
        <v>0</v>
      </c>
      <c r="K66" s="14">
        <f t="shared" si="12"/>
        <v>0</v>
      </c>
      <c r="L66" s="14">
        <f t="shared" si="12"/>
        <v>0</v>
      </c>
      <c r="M66" s="14">
        <f t="shared" si="12"/>
        <v>0</v>
      </c>
      <c r="N66" s="14">
        <f t="shared" si="12"/>
        <v>0</v>
      </c>
      <c r="O66" s="14">
        <f t="shared" si="12"/>
        <v>0</v>
      </c>
      <c r="P66" s="14">
        <f t="shared" si="12"/>
        <v>0</v>
      </c>
      <c r="Q66" s="14">
        <f t="shared" si="12"/>
        <v>0</v>
      </c>
      <c r="R66" s="14">
        <f t="shared" si="12"/>
        <v>0</v>
      </c>
      <c r="S66" s="14">
        <f t="shared" si="12"/>
        <v>0</v>
      </c>
      <c r="T66" s="14">
        <f t="shared" si="12"/>
        <v>0</v>
      </c>
      <c r="U66" s="14">
        <f t="shared" si="12"/>
        <v>0</v>
      </c>
      <c r="V66" s="14">
        <f t="shared" si="12"/>
        <v>0</v>
      </c>
      <c r="W66" s="14">
        <f t="shared" si="12"/>
        <v>0</v>
      </c>
      <c r="X66" s="14">
        <f t="shared" si="12"/>
        <v>0</v>
      </c>
      <c r="Y66" s="14">
        <f t="shared" si="12"/>
        <v>0</v>
      </c>
      <c r="Z66" s="14">
        <f t="shared" si="12"/>
        <v>0</v>
      </c>
      <c r="AA66" s="14">
        <f t="shared" si="12"/>
        <v>0</v>
      </c>
      <c r="AB66" s="14">
        <f t="shared" si="12"/>
        <v>0</v>
      </c>
      <c r="AC66" s="14">
        <f t="shared" si="12"/>
        <v>0</v>
      </c>
      <c r="AD66" s="14">
        <f t="shared" si="12"/>
        <v>0</v>
      </c>
      <c r="AE66" s="14">
        <f t="shared" si="12"/>
        <v>0</v>
      </c>
      <c r="AF66" s="14">
        <f t="shared" si="12"/>
        <v>0</v>
      </c>
      <c r="AG66" s="14">
        <f t="shared" si="12"/>
        <v>0</v>
      </c>
      <c r="AH66" s="14">
        <f t="shared" si="12"/>
        <v>0</v>
      </c>
      <c r="AI66" s="14">
        <f t="shared" si="12"/>
        <v>0</v>
      </c>
      <c r="AJ66" s="27">
        <f t="shared" si="0"/>
        <v>0</v>
      </c>
    </row>
  </sheetData>
  <mergeCells count="13">
    <mergeCell ref="B2:AJ2"/>
    <mergeCell ref="B5:B65"/>
    <mergeCell ref="C37:C44"/>
    <mergeCell ref="C45:C48"/>
    <mergeCell ref="C49:C52"/>
    <mergeCell ref="C53:C57"/>
    <mergeCell ref="C58:C61"/>
    <mergeCell ref="C62:C65"/>
    <mergeCell ref="C5:C13"/>
    <mergeCell ref="C14:C23"/>
    <mergeCell ref="C24:C27"/>
    <mergeCell ref="C28:C32"/>
    <mergeCell ref="C33:C36"/>
  </mergeCells>
  <conditionalFormatting sqref="E28:AI31 E33:AI35 E37:AI43 E45:AI47 E49:AI51 E53:AI56 E58:AI60 E62:AI64">
    <cfRule type="notContainsBlanks" dxfId="29" priority="3">
      <formula>LEN(TRIM(E28))&gt;0</formula>
    </cfRule>
  </conditionalFormatting>
  <conditionalFormatting sqref="D5:D12 D14:D22 D24:D26 D28:D31 D33:D35 D37:D43 D45:D47 D49:D51 D53:D56 D58:D60 D62:D64">
    <cfRule type="notContainsBlanks" dxfId="28" priority="2">
      <formula>LEN(TRIM(D5))&gt;0</formula>
    </cfRule>
  </conditionalFormatting>
  <conditionalFormatting sqref="E5:AI12 E14:AI22 E24:AI26">
    <cfRule type="notContainsBlanks" dxfId="27" priority="1">
      <formula>LEN(TRIM(E5))&gt;0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9"/>
  <dimension ref="B1:AJ66"/>
  <sheetViews>
    <sheetView showGridLines="0" showRowColHeaders="0"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2" max="2" width="18.5703125" customWidth="1"/>
    <col min="3" max="3" width="18.28515625" bestFit="1" customWidth="1"/>
    <col min="4" max="4" width="19.7109375" bestFit="1" customWidth="1"/>
    <col min="5" max="35" width="12.5703125" bestFit="1" customWidth="1"/>
    <col min="36" max="36" width="13.5703125" bestFit="1" customWidth="1"/>
  </cols>
  <sheetData>
    <row r="1" spans="2:36" ht="15.75" thickBot="1"/>
    <row r="2" spans="2:36" ht="33.75" customHeight="1" thickBot="1">
      <c r="B2" s="340" t="s">
        <v>3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</row>
    <row r="4" spans="2:36" ht="15.75" thickBot="1">
      <c r="B4" s="4"/>
      <c r="C4" s="5"/>
      <c r="D4" s="12" t="s">
        <v>57</v>
      </c>
      <c r="E4" s="13">
        <v>1</v>
      </c>
      <c r="F4" s="13">
        <v>2</v>
      </c>
      <c r="G4" s="13">
        <v>3</v>
      </c>
      <c r="H4" s="13">
        <v>4</v>
      </c>
      <c r="I4" s="13">
        <v>5</v>
      </c>
      <c r="J4" s="13">
        <v>6</v>
      </c>
      <c r="K4" s="13">
        <v>7</v>
      </c>
      <c r="L4" s="13">
        <v>8</v>
      </c>
      <c r="M4" s="13">
        <v>9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17</v>
      </c>
      <c r="V4" s="13">
        <v>18</v>
      </c>
      <c r="W4" s="13">
        <v>19</v>
      </c>
      <c r="X4" s="13">
        <v>20</v>
      </c>
      <c r="Y4" s="13">
        <v>21</v>
      </c>
      <c r="Z4" s="13">
        <v>22</v>
      </c>
      <c r="AA4" s="13">
        <v>23</v>
      </c>
      <c r="AB4" s="13">
        <v>24</v>
      </c>
      <c r="AC4" s="13">
        <v>25</v>
      </c>
      <c r="AD4" s="13">
        <v>26</v>
      </c>
      <c r="AE4" s="13">
        <v>27</v>
      </c>
      <c r="AF4" s="13">
        <v>28</v>
      </c>
      <c r="AG4" s="13">
        <v>29</v>
      </c>
      <c r="AH4" s="13">
        <v>30</v>
      </c>
      <c r="AI4" s="13">
        <v>31</v>
      </c>
      <c r="AJ4" s="27" t="s">
        <v>103</v>
      </c>
    </row>
    <row r="5" spans="2:36" ht="15.75" thickBot="1">
      <c r="B5" s="338" t="s">
        <v>126</v>
      </c>
      <c r="C5" s="336" t="s">
        <v>25</v>
      </c>
      <c r="D5" s="268" t="s">
        <v>30</v>
      </c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11">
        <f>SUM(E5:AI5)</f>
        <v>0</v>
      </c>
    </row>
    <row r="6" spans="2:36" ht="15.75" thickBot="1">
      <c r="B6" s="338"/>
      <c r="C6" s="336"/>
      <c r="D6" s="271" t="s">
        <v>26</v>
      </c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11">
        <f t="shared" ref="AJ6:AJ66" si="0">SUM(E6:AI6)</f>
        <v>0</v>
      </c>
    </row>
    <row r="7" spans="2:36" ht="15.75" thickBot="1">
      <c r="B7" s="338"/>
      <c r="C7" s="336"/>
      <c r="D7" s="271" t="s">
        <v>29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11">
        <f t="shared" si="0"/>
        <v>0</v>
      </c>
    </row>
    <row r="8" spans="2:36" ht="15.75" thickBot="1">
      <c r="B8" s="338"/>
      <c r="C8" s="336"/>
      <c r="D8" s="271" t="s">
        <v>27</v>
      </c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11">
        <f t="shared" si="0"/>
        <v>0</v>
      </c>
    </row>
    <row r="9" spans="2:36" ht="15.75" thickBot="1">
      <c r="B9" s="338"/>
      <c r="C9" s="336"/>
      <c r="D9" s="271" t="s">
        <v>28</v>
      </c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11">
        <f t="shared" si="0"/>
        <v>0</v>
      </c>
    </row>
    <row r="10" spans="2:36" ht="15.75" thickBot="1">
      <c r="B10" s="338"/>
      <c r="C10" s="336"/>
      <c r="D10" s="272" t="s">
        <v>86</v>
      </c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11">
        <f t="shared" si="0"/>
        <v>0</v>
      </c>
    </row>
    <row r="11" spans="2:36" ht="15.75" thickBot="1">
      <c r="B11" s="338"/>
      <c r="C11" s="336"/>
      <c r="D11" s="272" t="s">
        <v>87</v>
      </c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11">
        <f t="shared" si="0"/>
        <v>0</v>
      </c>
    </row>
    <row r="12" spans="2:36" ht="15.75" thickBot="1">
      <c r="B12" s="338"/>
      <c r="C12" s="336"/>
      <c r="D12" s="272" t="s">
        <v>52</v>
      </c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11">
        <f t="shared" si="0"/>
        <v>0</v>
      </c>
    </row>
    <row r="13" spans="2:36" ht="15.75" thickBot="1">
      <c r="B13" s="338"/>
      <c r="C13" s="336"/>
      <c r="D13" s="20" t="s">
        <v>17</v>
      </c>
      <c r="E13" s="21">
        <f>SUM(E5:E12)</f>
        <v>0</v>
      </c>
      <c r="F13" s="21">
        <f>SUM(F5:F12)</f>
        <v>0</v>
      </c>
      <c r="G13" s="21">
        <f>SUM(G5:G12)</f>
        <v>0</v>
      </c>
      <c r="H13" s="21">
        <f t="shared" ref="H13:AJ13" si="1">SUM(H5:H12)</f>
        <v>0</v>
      </c>
      <c r="I13" s="21">
        <f t="shared" si="1"/>
        <v>0</v>
      </c>
      <c r="J13" s="21">
        <f>SUM(J5:J12)</f>
        <v>0</v>
      </c>
      <c r="K13" s="21">
        <f t="shared" si="1"/>
        <v>0</v>
      </c>
      <c r="L13" s="21">
        <f>SUM(L5:L12)</f>
        <v>0</v>
      </c>
      <c r="M13" s="21">
        <f t="shared" si="1"/>
        <v>0</v>
      </c>
      <c r="N13" s="21">
        <f t="shared" si="1"/>
        <v>0</v>
      </c>
      <c r="O13" s="21">
        <f t="shared" si="1"/>
        <v>0</v>
      </c>
      <c r="P13" s="21">
        <f t="shared" si="1"/>
        <v>0</v>
      </c>
      <c r="Q13" s="21">
        <f t="shared" si="1"/>
        <v>0</v>
      </c>
      <c r="R13" s="21">
        <f t="shared" si="1"/>
        <v>0</v>
      </c>
      <c r="S13" s="21">
        <f t="shared" si="1"/>
        <v>0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21">
        <f t="shared" si="1"/>
        <v>0</v>
      </c>
      <c r="AG13" s="21">
        <f t="shared" si="1"/>
        <v>0</v>
      </c>
      <c r="AH13" s="21">
        <f t="shared" si="1"/>
        <v>0</v>
      </c>
      <c r="AI13" s="21">
        <f t="shared" si="1"/>
        <v>0</v>
      </c>
      <c r="AJ13" s="21">
        <f t="shared" si="1"/>
        <v>0</v>
      </c>
    </row>
    <row r="14" spans="2:36" ht="15.75" thickBot="1">
      <c r="B14" s="338"/>
      <c r="C14" s="336" t="s">
        <v>23</v>
      </c>
      <c r="D14" s="273" t="s">
        <v>31</v>
      </c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11">
        <f t="shared" si="0"/>
        <v>0</v>
      </c>
    </row>
    <row r="15" spans="2:36" ht="15.75" thickBot="1">
      <c r="B15" s="338"/>
      <c r="C15" s="336"/>
      <c r="D15" s="271" t="s">
        <v>32</v>
      </c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11">
        <f t="shared" si="0"/>
        <v>0</v>
      </c>
    </row>
    <row r="16" spans="2:36" ht="15.75" thickBot="1">
      <c r="B16" s="338"/>
      <c r="C16" s="336"/>
      <c r="D16" s="271" t="s">
        <v>33</v>
      </c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11">
        <f t="shared" si="0"/>
        <v>0</v>
      </c>
    </row>
    <row r="17" spans="2:36" ht="15.75" thickBot="1">
      <c r="B17" s="338"/>
      <c r="C17" s="336"/>
      <c r="D17" s="271" t="s">
        <v>54</v>
      </c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  <c r="AJ17" s="11">
        <f t="shared" si="0"/>
        <v>0</v>
      </c>
    </row>
    <row r="18" spans="2:36" ht="15.75" thickBot="1">
      <c r="B18" s="338"/>
      <c r="C18" s="336"/>
      <c r="D18" s="271" t="s">
        <v>55</v>
      </c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  <c r="AJ18" s="11">
        <f t="shared" si="0"/>
        <v>0</v>
      </c>
    </row>
    <row r="19" spans="2:36" ht="15.75" thickBot="1">
      <c r="B19" s="338"/>
      <c r="C19" s="336"/>
      <c r="D19" s="271" t="s">
        <v>38</v>
      </c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  <c r="AF19" s="269"/>
      <c r="AG19" s="269"/>
      <c r="AH19" s="269"/>
      <c r="AI19" s="269"/>
      <c r="AJ19" s="11">
        <f t="shared" si="0"/>
        <v>0</v>
      </c>
    </row>
    <row r="20" spans="2:36" ht="15.75" thickBot="1">
      <c r="B20" s="338"/>
      <c r="C20" s="336"/>
      <c r="D20" s="271" t="s">
        <v>37</v>
      </c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  <c r="AF20" s="269"/>
      <c r="AG20" s="269"/>
      <c r="AH20" s="269"/>
      <c r="AI20" s="269"/>
      <c r="AJ20" s="11">
        <f t="shared" si="0"/>
        <v>0</v>
      </c>
    </row>
    <row r="21" spans="2:36" ht="15.75" thickBot="1">
      <c r="B21" s="338"/>
      <c r="C21" s="336"/>
      <c r="D21" s="271" t="s">
        <v>75</v>
      </c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  <c r="AF21" s="269"/>
      <c r="AG21" s="269"/>
      <c r="AH21" s="269"/>
      <c r="AI21" s="269"/>
      <c r="AJ21" s="11">
        <f t="shared" si="0"/>
        <v>0</v>
      </c>
    </row>
    <row r="22" spans="2:36" ht="15.75" thickBot="1">
      <c r="B22" s="338"/>
      <c r="C22" s="336"/>
      <c r="D22" s="271" t="s">
        <v>52</v>
      </c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  <c r="AF22" s="269"/>
      <c r="AG22" s="269"/>
      <c r="AH22" s="269"/>
      <c r="AI22" s="269"/>
      <c r="AJ22" s="11">
        <f t="shared" si="0"/>
        <v>0</v>
      </c>
    </row>
    <row r="23" spans="2:36" ht="15.75" thickBot="1">
      <c r="B23" s="338"/>
      <c r="C23" s="336"/>
      <c r="D23" s="22" t="s">
        <v>17</v>
      </c>
      <c r="E23" s="21">
        <f>SUM(E14:E22)</f>
        <v>0</v>
      </c>
      <c r="F23" s="21">
        <f>SUM(F14:F22)</f>
        <v>0</v>
      </c>
      <c r="G23" s="21">
        <f>SUM(G14:G22)</f>
        <v>0</v>
      </c>
      <c r="H23" s="21">
        <f>SUM(H14:H22)</f>
        <v>0</v>
      </c>
      <c r="I23" s="21">
        <f t="shared" ref="I23:AJ23" si="2">SUM(I14:I22)</f>
        <v>0</v>
      </c>
      <c r="J23" s="21">
        <f>SUM(J14:J22)</f>
        <v>0</v>
      </c>
      <c r="K23" s="21">
        <f t="shared" si="2"/>
        <v>0</v>
      </c>
      <c r="L23" s="21">
        <f t="shared" si="2"/>
        <v>0</v>
      </c>
      <c r="M23" s="21">
        <f t="shared" si="2"/>
        <v>0</v>
      </c>
      <c r="N23" s="21">
        <f>SUM(N14:N22)</f>
        <v>0</v>
      </c>
      <c r="O23" s="21">
        <f t="shared" si="2"/>
        <v>0</v>
      </c>
      <c r="P23" s="21">
        <f t="shared" si="2"/>
        <v>0</v>
      </c>
      <c r="Q23" s="21">
        <f t="shared" si="2"/>
        <v>0</v>
      </c>
      <c r="R23" s="21">
        <f t="shared" si="2"/>
        <v>0</v>
      </c>
      <c r="S23" s="21">
        <f t="shared" si="2"/>
        <v>0</v>
      </c>
      <c r="T23" s="21">
        <f t="shared" si="2"/>
        <v>0</v>
      </c>
      <c r="U23" s="21">
        <f t="shared" si="2"/>
        <v>0</v>
      </c>
      <c r="V23" s="21">
        <f t="shared" si="2"/>
        <v>0</v>
      </c>
      <c r="W23" s="21">
        <f t="shared" si="2"/>
        <v>0</v>
      </c>
      <c r="X23" s="21">
        <f t="shared" si="2"/>
        <v>0</v>
      </c>
      <c r="Y23" s="21">
        <f t="shared" si="2"/>
        <v>0</v>
      </c>
      <c r="Z23" s="21">
        <f t="shared" si="2"/>
        <v>0</v>
      </c>
      <c r="AA23" s="21">
        <f t="shared" si="2"/>
        <v>0</v>
      </c>
      <c r="AB23" s="21">
        <f t="shared" si="2"/>
        <v>0</v>
      </c>
      <c r="AC23" s="21">
        <f t="shared" si="2"/>
        <v>0</v>
      </c>
      <c r="AD23" s="21">
        <f t="shared" si="2"/>
        <v>0</v>
      </c>
      <c r="AE23" s="21">
        <f t="shared" si="2"/>
        <v>0</v>
      </c>
      <c r="AF23" s="21">
        <f t="shared" si="2"/>
        <v>0</v>
      </c>
      <c r="AG23" s="21">
        <f t="shared" si="2"/>
        <v>0</v>
      </c>
      <c r="AH23" s="21">
        <f t="shared" si="2"/>
        <v>0</v>
      </c>
      <c r="AI23" s="21">
        <f t="shared" si="2"/>
        <v>0</v>
      </c>
      <c r="AJ23" s="21">
        <f t="shared" si="2"/>
        <v>0</v>
      </c>
    </row>
    <row r="24" spans="2:36" ht="15.75" thickBot="1">
      <c r="B24" s="338"/>
      <c r="C24" s="336" t="s">
        <v>39</v>
      </c>
      <c r="D24" s="271" t="s">
        <v>40</v>
      </c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  <c r="AF24" s="269"/>
      <c r="AG24" s="269"/>
      <c r="AH24" s="269"/>
      <c r="AI24" s="269"/>
      <c r="AJ24" s="11">
        <f t="shared" si="0"/>
        <v>0</v>
      </c>
    </row>
    <row r="25" spans="2:36" ht="15.75" thickBot="1">
      <c r="B25" s="338"/>
      <c r="C25" s="336"/>
      <c r="D25" s="271" t="s">
        <v>41</v>
      </c>
      <c r="E25" s="269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  <c r="AF25" s="269"/>
      <c r="AG25" s="269"/>
      <c r="AH25" s="269"/>
      <c r="AI25" s="269"/>
      <c r="AJ25" s="11">
        <f t="shared" si="0"/>
        <v>0</v>
      </c>
    </row>
    <row r="26" spans="2:36" ht="15.75" thickBot="1">
      <c r="B26" s="338"/>
      <c r="C26" s="336"/>
      <c r="D26" s="271" t="s">
        <v>52</v>
      </c>
      <c r="E26" s="269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  <c r="AF26" s="269"/>
      <c r="AG26" s="269"/>
      <c r="AH26" s="269"/>
      <c r="AI26" s="269"/>
      <c r="AJ26" s="11">
        <f t="shared" si="0"/>
        <v>0</v>
      </c>
    </row>
    <row r="27" spans="2:36" ht="15.75" thickBot="1">
      <c r="B27" s="338"/>
      <c r="C27" s="336"/>
      <c r="D27" s="16" t="s">
        <v>17</v>
      </c>
      <c r="E27" s="17">
        <f>SUM(E24:E26)</f>
        <v>0</v>
      </c>
      <c r="F27" s="17">
        <f t="shared" ref="F27:AJ27" si="3">SUM(F24:F26)</f>
        <v>0</v>
      </c>
      <c r="G27" s="17">
        <f t="shared" si="3"/>
        <v>0</v>
      </c>
      <c r="H27" s="17">
        <f t="shared" si="3"/>
        <v>0</v>
      </c>
      <c r="I27" s="17">
        <f t="shared" si="3"/>
        <v>0</v>
      </c>
      <c r="J27" s="17">
        <f t="shared" si="3"/>
        <v>0</v>
      </c>
      <c r="K27" s="17">
        <f t="shared" si="3"/>
        <v>0</v>
      </c>
      <c r="L27" s="17">
        <f t="shared" si="3"/>
        <v>0</v>
      </c>
      <c r="M27" s="17">
        <f t="shared" si="3"/>
        <v>0</v>
      </c>
      <c r="N27" s="17">
        <f t="shared" si="3"/>
        <v>0</v>
      </c>
      <c r="O27" s="17">
        <f t="shared" si="3"/>
        <v>0</v>
      </c>
      <c r="P27" s="17">
        <f t="shared" si="3"/>
        <v>0</v>
      </c>
      <c r="Q27" s="17">
        <f t="shared" si="3"/>
        <v>0</v>
      </c>
      <c r="R27" s="17">
        <f t="shared" si="3"/>
        <v>0</v>
      </c>
      <c r="S27" s="17">
        <f t="shared" si="3"/>
        <v>0</v>
      </c>
      <c r="T27" s="17">
        <f t="shared" si="3"/>
        <v>0</v>
      </c>
      <c r="U27" s="17">
        <f t="shared" si="3"/>
        <v>0</v>
      </c>
      <c r="V27" s="17">
        <f t="shared" si="3"/>
        <v>0</v>
      </c>
      <c r="W27" s="17">
        <f t="shared" si="3"/>
        <v>0</v>
      </c>
      <c r="X27" s="17">
        <f t="shared" si="3"/>
        <v>0</v>
      </c>
      <c r="Y27" s="17">
        <f t="shared" si="3"/>
        <v>0</v>
      </c>
      <c r="Z27" s="17">
        <f t="shared" si="3"/>
        <v>0</v>
      </c>
      <c r="AA27" s="17">
        <f t="shared" si="3"/>
        <v>0</v>
      </c>
      <c r="AB27" s="17">
        <f t="shared" si="3"/>
        <v>0</v>
      </c>
      <c r="AC27" s="17">
        <f t="shared" si="3"/>
        <v>0</v>
      </c>
      <c r="AD27" s="17">
        <f t="shared" si="3"/>
        <v>0</v>
      </c>
      <c r="AE27" s="17">
        <f t="shared" si="3"/>
        <v>0</v>
      </c>
      <c r="AF27" s="17">
        <f t="shared" si="3"/>
        <v>0</v>
      </c>
      <c r="AG27" s="17">
        <f t="shared" si="3"/>
        <v>0</v>
      </c>
      <c r="AH27" s="17">
        <f t="shared" si="3"/>
        <v>0</v>
      </c>
      <c r="AI27" s="17">
        <f t="shared" si="3"/>
        <v>0</v>
      </c>
      <c r="AJ27" s="17">
        <f t="shared" si="3"/>
        <v>0</v>
      </c>
    </row>
    <row r="28" spans="2:36" ht="15.75" thickBot="1">
      <c r="B28" s="338"/>
      <c r="C28" s="336" t="s">
        <v>45</v>
      </c>
      <c r="D28" s="271" t="s">
        <v>79</v>
      </c>
      <c r="E28" s="269"/>
      <c r="F28" s="270"/>
      <c r="G28" s="270"/>
      <c r="H28" s="270"/>
      <c r="I28" s="270"/>
      <c r="J28" s="270"/>
      <c r="K28" s="270"/>
      <c r="L28" s="270"/>
      <c r="M28" s="270"/>
      <c r="N28" s="270"/>
      <c r="O28" s="270"/>
      <c r="P28" s="270"/>
      <c r="Q28" s="270"/>
      <c r="R28" s="270"/>
      <c r="S28" s="270"/>
      <c r="T28" s="270"/>
      <c r="U28" s="270"/>
      <c r="V28" s="270"/>
      <c r="W28" s="270"/>
      <c r="X28" s="270"/>
      <c r="Y28" s="270"/>
      <c r="Z28" s="270"/>
      <c r="AA28" s="270"/>
      <c r="AB28" s="270"/>
      <c r="AC28" s="270"/>
      <c r="AD28" s="270"/>
      <c r="AE28" s="270"/>
      <c r="AF28" s="270"/>
      <c r="AG28" s="270"/>
      <c r="AH28" s="270"/>
      <c r="AI28" s="270"/>
      <c r="AJ28" s="11">
        <f t="shared" si="0"/>
        <v>0</v>
      </c>
    </row>
    <row r="29" spans="2:36" ht="15.75" thickBot="1">
      <c r="B29" s="338"/>
      <c r="C29" s="336"/>
      <c r="D29" s="271" t="s">
        <v>78</v>
      </c>
      <c r="E29" s="269"/>
      <c r="F29" s="270"/>
      <c r="G29" s="270"/>
      <c r="H29" s="270"/>
      <c r="I29" s="270"/>
      <c r="J29" s="270"/>
      <c r="K29" s="270"/>
      <c r="L29" s="270"/>
      <c r="M29" s="270"/>
      <c r="N29" s="270"/>
      <c r="O29" s="270"/>
      <c r="P29" s="270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11">
        <f t="shared" si="0"/>
        <v>0</v>
      </c>
    </row>
    <row r="30" spans="2:36" ht="15.75" thickBot="1">
      <c r="B30" s="338"/>
      <c r="C30" s="336"/>
      <c r="D30" s="271" t="s">
        <v>48</v>
      </c>
      <c r="E30" s="269"/>
      <c r="F30" s="270"/>
      <c r="G30" s="270"/>
      <c r="H30" s="270"/>
      <c r="I30" s="270"/>
      <c r="J30" s="270"/>
      <c r="K30" s="270"/>
      <c r="L30" s="270"/>
      <c r="M30" s="270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11">
        <f t="shared" si="0"/>
        <v>0</v>
      </c>
    </row>
    <row r="31" spans="2:36" ht="15.75" thickBot="1">
      <c r="B31" s="338"/>
      <c r="C31" s="336"/>
      <c r="D31" s="271" t="s">
        <v>52</v>
      </c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11">
        <f t="shared" si="0"/>
        <v>0</v>
      </c>
    </row>
    <row r="32" spans="2:36" ht="15.75" thickBot="1">
      <c r="B32" s="338"/>
      <c r="C32" s="336"/>
      <c r="D32" s="16" t="s">
        <v>17</v>
      </c>
      <c r="E32" s="17">
        <f>SUM(E28:E31)</f>
        <v>0</v>
      </c>
      <c r="F32" s="17">
        <f t="shared" ref="F32:AJ32" si="4">SUM(F28:F31)</f>
        <v>0</v>
      </c>
      <c r="G32" s="17">
        <f t="shared" si="4"/>
        <v>0</v>
      </c>
      <c r="H32" s="17">
        <f t="shared" si="4"/>
        <v>0</v>
      </c>
      <c r="I32" s="17">
        <f t="shared" si="4"/>
        <v>0</v>
      </c>
      <c r="J32" s="17">
        <f t="shared" si="4"/>
        <v>0</v>
      </c>
      <c r="K32" s="17">
        <f t="shared" si="4"/>
        <v>0</v>
      </c>
      <c r="L32" s="17">
        <f t="shared" si="4"/>
        <v>0</v>
      </c>
      <c r="M32" s="17">
        <f t="shared" si="4"/>
        <v>0</v>
      </c>
      <c r="N32" s="17">
        <f t="shared" si="4"/>
        <v>0</v>
      </c>
      <c r="O32" s="17">
        <f t="shared" si="4"/>
        <v>0</v>
      </c>
      <c r="P32" s="17">
        <f t="shared" si="4"/>
        <v>0</v>
      </c>
      <c r="Q32" s="17">
        <f t="shared" si="4"/>
        <v>0</v>
      </c>
      <c r="R32" s="17">
        <f t="shared" si="4"/>
        <v>0</v>
      </c>
      <c r="S32" s="17">
        <f t="shared" si="4"/>
        <v>0</v>
      </c>
      <c r="T32" s="17">
        <f t="shared" si="4"/>
        <v>0</v>
      </c>
      <c r="U32" s="17">
        <f t="shared" si="4"/>
        <v>0</v>
      </c>
      <c r="V32" s="17">
        <f t="shared" si="4"/>
        <v>0</v>
      </c>
      <c r="W32" s="17">
        <f t="shared" si="4"/>
        <v>0</v>
      </c>
      <c r="X32" s="17">
        <f t="shared" si="4"/>
        <v>0</v>
      </c>
      <c r="Y32" s="17">
        <f t="shared" si="4"/>
        <v>0</v>
      </c>
      <c r="Z32" s="17">
        <f t="shared" si="4"/>
        <v>0</v>
      </c>
      <c r="AA32" s="17">
        <f t="shared" si="4"/>
        <v>0</v>
      </c>
      <c r="AB32" s="17">
        <f t="shared" si="4"/>
        <v>0</v>
      </c>
      <c r="AC32" s="17">
        <f t="shared" si="4"/>
        <v>0</v>
      </c>
      <c r="AD32" s="17">
        <f t="shared" si="4"/>
        <v>0</v>
      </c>
      <c r="AE32" s="17">
        <f t="shared" si="4"/>
        <v>0</v>
      </c>
      <c r="AF32" s="17">
        <f t="shared" si="4"/>
        <v>0</v>
      </c>
      <c r="AG32" s="17">
        <f t="shared" si="4"/>
        <v>0</v>
      </c>
      <c r="AH32" s="17">
        <f t="shared" si="4"/>
        <v>0</v>
      </c>
      <c r="AI32" s="17">
        <f t="shared" si="4"/>
        <v>0</v>
      </c>
      <c r="AJ32" s="17">
        <f t="shared" si="4"/>
        <v>0</v>
      </c>
    </row>
    <row r="33" spans="2:36" ht="15.75" thickBot="1">
      <c r="B33" s="338"/>
      <c r="C33" s="336" t="s">
        <v>22</v>
      </c>
      <c r="D33" s="271" t="s">
        <v>34</v>
      </c>
      <c r="E33" s="269"/>
      <c r="F33" s="270"/>
      <c r="G33" s="270"/>
      <c r="H33" s="270"/>
      <c r="I33" s="270"/>
      <c r="J33" s="270"/>
      <c r="K33" s="270"/>
      <c r="L33" s="270"/>
      <c r="M33" s="270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11">
        <f t="shared" si="0"/>
        <v>0</v>
      </c>
    </row>
    <row r="34" spans="2:36" ht="15.75" thickBot="1">
      <c r="B34" s="338"/>
      <c r="C34" s="336"/>
      <c r="D34" s="271" t="s">
        <v>35</v>
      </c>
      <c r="E34" s="269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11">
        <f t="shared" si="0"/>
        <v>0</v>
      </c>
    </row>
    <row r="35" spans="2:36" ht="15.75" thickBot="1">
      <c r="B35" s="338"/>
      <c r="C35" s="336"/>
      <c r="D35" s="271" t="s">
        <v>52</v>
      </c>
      <c r="E35" s="269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11">
        <f t="shared" si="0"/>
        <v>0</v>
      </c>
    </row>
    <row r="36" spans="2:36" ht="15.75" thickBot="1">
      <c r="B36" s="338"/>
      <c r="C36" s="336"/>
      <c r="D36" s="16" t="s">
        <v>17</v>
      </c>
      <c r="E36" s="17">
        <f>SUM(E33:E35)</f>
        <v>0</v>
      </c>
      <c r="F36" s="17">
        <f t="shared" ref="F36:AJ36" si="5">SUM(F33:F35)</f>
        <v>0</v>
      </c>
      <c r="G36" s="17">
        <f t="shared" si="5"/>
        <v>0</v>
      </c>
      <c r="H36" s="17">
        <f t="shared" si="5"/>
        <v>0</v>
      </c>
      <c r="I36" s="17">
        <f t="shared" si="5"/>
        <v>0</v>
      </c>
      <c r="J36" s="17">
        <f t="shared" si="5"/>
        <v>0</v>
      </c>
      <c r="K36" s="17">
        <f t="shared" si="5"/>
        <v>0</v>
      </c>
      <c r="L36" s="17">
        <f t="shared" si="5"/>
        <v>0</v>
      </c>
      <c r="M36" s="17">
        <f t="shared" si="5"/>
        <v>0</v>
      </c>
      <c r="N36" s="17">
        <f t="shared" si="5"/>
        <v>0</v>
      </c>
      <c r="O36" s="17">
        <f t="shared" si="5"/>
        <v>0</v>
      </c>
      <c r="P36" s="17">
        <f t="shared" si="5"/>
        <v>0</v>
      </c>
      <c r="Q36" s="17">
        <f t="shared" si="5"/>
        <v>0</v>
      </c>
      <c r="R36" s="17">
        <f t="shared" si="5"/>
        <v>0</v>
      </c>
      <c r="S36" s="17">
        <f t="shared" si="5"/>
        <v>0</v>
      </c>
      <c r="T36" s="17">
        <f t="shared" si="5"/>
        <v>0</v>
      </c>
      <c r="U36" s="17">
        <f t="shared" si="5"/>
        <v>0</v>
      </c>
      <c r="V36" s="17">
        <f t="shared" si="5"/>
        <v>0</v>
      </c>
      <c r="W36" s="17">
        <f t="shared" si="5"/>
        <v>0</v>
      </c>
      <c r="X36" s="17">
        <f t="shared" si="5"/>
        <v>0</v>
      </c>
      <c r="Y36" s="17">
        <f t="shared" si="5"/>
        <v>0</v>
      </c>
      <c r="Z36" s="17">
        <f t="shared" si="5"/>
        <v>0</v>
      </c>
      <c r="AA36" s="17">
        <f t="shared" si="5"/>
        <v>0</v>
      </c>
      <c r="AB36" s="17">
        <f t="shared" si="5"/>
        <v>0</v>
      </c>
      <c r="AC36" s="17">
        <f t="shared" si="5"/>
        <v>0</v>
      </c>
      <c r="AD36" s="17">
        <f t="shared" si="5"/>
        <v>0</v>
      </c>
      <c r="AE36" s="17">
        <f t="shared" si="5"/>
        <v>0</v>
      </c>
      <c r="AF36" s="17">
        <f t="shared" si="5"/>
        <v>0</v>
      </c>
      <c r="AG36" s="17">
        <f t="shared" si="5"/>
        <v>0</v>
      </c>
      <c r="AH36" s="17">
        <f t="shared" si="5"/>
        <v>0</v>
      </c>
      <c r="AI36" s="17">
        <f t="shared" si="5"/>
        <v>0</v>
      </c>
      <c r="AJ36" s="17">
        <f t="shared" si="5"/>
        <v>0</v>
      </c>
    </row>
    <row r="37" spans="2:36" ht="15.75" thickBot="1">
      <c r="B37" s="338"/>
      <c r="C37" s="336" t="s">
        <v>58</v>
      </c>
      <c r="D37" s="274" t="s">
        <v>91</v>
      </c>
      <c r="E37" s="269"/>
      <c r="F37" s="270"/>
      <c r="G37" s="270"/>
      <c r="H37" s="270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11">
        <f t="shared" si="0"/>
        <v>0</v>
      </c>
    </row>
    <row r="38" spans="2:36" ht="15.75" thickBot="1">
      <c r="B38" s="338"/>
      <c r="C38" s="336"/>
      <c r="D38" s="271" t="s">
        <v>60</v>
      </c>
      <c r="E38" s="269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  <c r="AC38" s="270"/>
      <c r="AD38" s="270"/>
      <c r="AE38" s="270"/>
      <c r="AF38" s="270"/>
      <c r="AG38" s="270"/>
      <c r="AH38" s="270"/>
      <c r="AI38" s="270"/>
      <c r="AJ38" s="11">
        <f t="shared" si="0"/>
        <v>0</v>
      </c>
    </row>
    <row r="39" spans="2:36" ht="15.75" thickBot="1">
      <c r="B39" s="338"/>
      <c r="C39" s="336"/>
      <c r="D39" s="271" t="s">
        <v>61</v>
      </c>
      <c r="E39" s="269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0"/>
      <c r="AH39" s="270"/>
      <c r="AI39" s="270"/>
      <c r="AJ39" s="11">
        <f t="shared" si="0"/>
        <v>0</v>
      </c>
    </row>
    <row r="40" spans="2:36" ht="15.75" thickBot="1">
      <c r="B40" s="338"/>
      <c r="C40" s="336"/>
      <c r="D40" s="271" t="s">
        <v>62</v>
      </c>
      <c r="E40" s="269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270"/>
      <c r="V40" s="270"/>
      <c r="W40" s="270"/>
      <c r="X40" s="270"/>
      <c r="Y40" s="270"/>
      <c r="Z40" s="270"/>
      <c r="AA40" s="270"/>
      <c r="AB40" s="270"/>
      <c r="AC40" s="270"/>
      <c r="AD40" s="270"/>
      <c r="AE40" s="270"/>
      <c r="AF40" s="270"/>
      <c r="AG40" s="270"/>
      <c r="AH40" s="270"/>
      <c r="AI40" s="270"/>
      <c r="AJ40" s="11">
        <f t="shared" si="0"/>
        <v>0</v>
      </c>
    </row>
    <row r="41" spans="2:36" ht="15.75" thickBot="1">
      <c r="B41" s="338"/>
      <c r="C41" s="336"/>
      <c r="D41" s="271" t="s">
        <v>81</v>
      </c>
      <c r="E41" s="269"/>
      <c r="F41" s="270"/>
      <c r="G41" s="270"/>
      <c r="H41" s="270"/>
      <c r="I41" s="270"/>
      <c r="J41" s="270"/>
      <c r="K41" s="270"/>
      <c r="L41" s="270"/>
      <c r="M41" s="270"/>
      <c r="N41" s="270"/>
      <c r="O41" s="270"/>
      <c r="P41" s="270"/>
      <c r="Q41" s="27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  <c r="AC41" s="270"/>
      <c r="AD41" s="270"/>
      <c r="AE41" s="270"/>
      <c r="AF41" s="270"/>
      <c r="AG41" s="270"/>
      <c r="AH41" s="270"/>
      <c r="AI41" s="270"/>
      <c r="AJ41" s="11">
        <f t="shared" si="0"/>
        <v>0</v>
      </c>
    </row>
    <row r="42" spans="2:36" ht="15.75" thickBot="1">
      <c r="B42" s="338"/>
      <c r="C42" s="336"/>
      <c r="D42" s="271" t="s">
        <v>110</v>
      </c>
      <c r="E42" s="269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11">
        <f t="shared" si="0"/>
        <v>0</v>
      </c>
    </row>
    <row r="43" spans="2:36" ht="15.75" thickBot="1">
      <c r="B43" s="338"/>
      <c r="C43" s="336"/>
      <c r="D43" s="271" t="s">
        <v>52</v>
      </c>
      <c r="E43" s="269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69"/>
      <c r="Q43" s="269"/>
      <c r="R43" s="269"/>
      <c r="S43" s="269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11">
        <f t="shared" si="0"/>
        <v>0</v>
      </c>
    </row>
    <row r="44" spans="2:36" ht="15.75" thickBot="1">
      <c r="B44" s="338"/>
      <c r="C44" s="336"/>
      <c r="D44" s="16" t="s">
        <v>17</v>
      </c>
      <c r="E44" s="17">
        <f>SUM(E37:E43)</f>
        <v>0</v>
      </c>
      <c r="F44" s="17">
        <f t="shared" ref="F44:AJ44" si="6">SUM(F37:F43)</f>
        <v>0</v>
      </c>
      <c r="G44" s="17">
        <f t="shared" si="6"/>
        <v>0</v>
      </c>
      <c r="H44" s="17">
        <f t="shared" si="6"/>
        <v>0</v>
      </c>
      <c r="I44" s="17">
        <f t="shared" si="6"/>
        <v>0</v>
      </c>
      <c r="J44" s="17">
        <f t="shared" si="6"/>
        <v>0</v>
      </c>
      <c r="K44" s="17">
        <f t="shared" si="6"/>
        <v>0</v>
      </c>
      <c r="L44" s="17">
        <f t="shared" si="6"/>
        <v>0</v>
      </c>
      <c r="M44" s="17">
        <f t="shared" si="6"/>
        <v>0</v>
      </c>
      <c r="N44" s="17">
        <f t="shared" si="6"/>
        <v>0</v>
      </c>
      <c r="O44" s="17">
        <f t="shared" si="6"/>
        <v>0</v>
      </c>
      <c r="P44" s="17">
        <f t="shared" si="6"/>
        <v>0</v>
      </c>
      <c r="Q44" s="17">
        <f t="shared" si="6"/>
        <v>0</v>
      </c>
      <c r="R44" s="17">
        <f t="shared" si="6"/>
        <v>0</v>
      </c>
      <c r="S44" s="17">
        <f t="shared" si="6"/>
        <v>0</v>
      </c>
      <c r="T44" s="17">
        <f t="shared" si="6"/>
        <v>0</v>
      </c>
      <c r="U44" s="17">
        <f t="shared" si="6"/>
        <v>0</v>
      </c>
      <c r="V44" s="17">
        <f t="shared" si="6"/>
        <v>0</v>
      </c>
      <c r="W44" s="17">
        <f t="shared" si="6"/>
        <v>0</v>
      </c>
      <c r="X44" s="17">
        <f t="shared" si="6"/>
        <v>0</v>
      </c>
      <c r="Y44" s="17">
        <f t="shared" si="6"/>
        <v>0</v>
      </c>
      <c r="Z44" s="17">
        <f t="shared" si="6"/>
        <v>0</v>
      </c>
      <c r="AA44" s="17">
        <f t="shared" si="6"/>
        <v>0</v>
      </c>
      <c r="AB44" s="17">
        <f t="shared" si="6"/>
        <v>0</v>
      </c>
      <c r="AC44" s="17">
        <f t="shared" si="6"/>
        <v>0</v>
      </c>
      <c r="AD44" s="17">
        <f t="shared" si="6"/>
        <v>0</v>
      </c>
      <c r="AE44" s="17">
        <f t="shared" si="6"/>
        <v>0</v>
      </c>
      <c r="AF44" s="17">
        <f t="shared" si="6"/>
        <v>0</v>
      </c>
      <c r="AG44" s="17">
        <f t="shared" si="6"/>
        <v>0</v>
      </c>
      <c r="AH44" s="17">
        <f t="shared" si="6"/>
        <v>0</v>
      </c>
      <c r="AI44" s="17">
        <f t="shared" si="6"/>
        <v>0</v>
      </c>
      <c r="AJ44" s="17">
        <f t="shared" si="6"/>
        <v>0</v>
      </c>
    </row>
    <row r="45" spans="2:36" ht="15.75" thickBot="1">
      <c r="B45" s="338"/>
      <c r="C45" s="336" t="s">
        <v>36</v>
      </c>
      <c r="D45" s="271" t="s">
        <v>63</v>
      </c>
      <c r="E45" s="269"/>
      <c r="F45" s="270"/>
      <c r="G45" s="270"/>
      <c r="H45" s="270"/>
      <c r="I45" s="270"/>
      <c r="J45" s="270"/>
      <c r="K45" s="270"/>
      <c r="L45" s="270"/>
      <c r="M45" s="270"/>
      <c r="N45" s="270"/>
      <c r="O45" s="270"/>
      <c r="P45" s="270"/>
      <c r="Q45" s="270"/>
      <c r="R45" s="270"/>
      <c r="S45" s="270"/>
      <c r="T45" s="270"/>
      <c r="U45" s="270"/>
      <c r="V45" s="270"/>
      <c r="W45" s="270"/>
      <c r="X45" s="270"/>
      <c r="Y45" s="270"/>
      <c r="Z45" s="270"/>
      <c r="AA45" s="270"/>
      <c r="AB45" s="270"/>
      <c r="AC45" s="270"/>
      <c r="AD45" s="270"/>
      <c r="AE45" s="270"/>
      <c r="AF45" s="270"/>
      <c r="AG45" s="270"/>
      <c r="AH45" s="270"/>
      <c r="AI45" s="270"/>
      <c r="AJ45" s="11">
        <f t="shared" si="0"/>
        <v>0</v>
      </c>
    </row>
    <row r="46" spans="2:36" ht="15.75" thickBot="1">
      <c r="B46" s="338"/>
      <c r="C46" s="336"/>
      <c r="D46" s="271" t="s">
        <v>64</v>
      </c>
      <c r="E46" s="269"/>
      <c r="F46" s="270"/>
      <c r="G46" s="270"/>
      <c r="H46" s="270"/>
      <c r="I46" s="270"/>
      <c r="J46" s="270"/>
      <c r="K46" s="270"/>
      <c r="L46" s="270"/>
      <c r="M46" s="270"/>
      <c r="N46" s="270"/>
      <c r="O46" s="270"/>
      <c r="P46" s="270"/>
      <c r="Q46" s="270"/>
      <c r="R46" s="270"/>
      <c r="S46" s="270"/>
      <c r="T46" s="270"/>
      <c r="U46" s="270"/>
      <c r="V46" s="270"/>
      <c r="W46" s="270"/>
      <c r="X46" s="270"/>
      <c r="Y46" s="270"/>
      <c r="Z46" s="270"/>
      <c r="AA46" s="270"/>
      <c r="AB46" s="270"/>
      <c r="AC46" s="270"/>
      <c r="AD46" s="270"/>
      <c r="AE46" s="270"/>
      <c r="AF46" s="270"/>
      <c r="AG46" s="270"/>
      <c r="AH46" s="270"/>
      <c r="AI46" s="270"/>
      <c r="AJ46" s="11">
        <f t="shared" si="0"/>
        <v>0</v>
      </c>
    </row>
    <row r="47" spans="2:36" ht="15.75" thickBot="1">
      <c r="B47" s="338"/>
      <c r="C47" s="336"/>
      <c r="D47" s="271" t="s">
        <v>52</v>
      </c>
      <c r="E47" s="269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69"/>
      <c r="S47" s="269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11">
        <f t="shared" si="0"/>
        <v>0</v>
      </c>
    </row>
    <row r="48" spans="2:36" ht="15.75" thickBot="1">
      <c r="B48" s="338"/>
      <c r="C48" s="336"/>
      <c r="D48" s="16" t="s">
        <v>17</v>
      </c>
      <c r="E48" s="17">
        <f>SUM(E45:E47)</f>
        <v>0</v>
      </c>
      <c r="F48" s="17">
        <f t="shared" ref="F48:AJ48" si="7">SUM(F45:F47)</f>
        <v>0</v>
      </c>
      <c r="G48" s="17">
        <f t="shared" si="7"/>
        <v>0</v>
      </c>
      <c r="H48" s="17">
        <f t="shared" si="7"/>
        <v>0</v>
      </c>
      <c r="I48" s="17">
        <f t="shared" si="7"/>
        <v>0</v>
      </c>
      <c r="J48" s="17">
        <f t="shared" si="7"/>
        <v>0</v>
      </c>
      <c r="K48" s="17">
        <f t="shared" si="7"/>
        <v>0</v>
      </c>
      <c r="L48" s="17">
        <f t="shared" si="7"/>
        <v>0</v>
      </c>
      <c r="M48" s="17">
        <f t="shared" si="7"/>
        <v>0</v>
      </c>
      <c r="N48" s="17">
        <f t="shared" si="7"/>
        <v>0</v>
      </c>
      <c r="O48" s="17">
        <f t="shared" si="7"/>
        <v>0</v>
      </c>
      <c r="P48" s="17">
        <f t="shared" si="7"/>
        <v>0</v>
      </c>
      <c r="Q48" s="17">
        <f t="shared" si="7"/>
        <v>0</v>
      </c>
      <c r="R48" s="17">
        <f t="shared" si="7"/>
        <v>0</v>
      </c>
      <c r="S48" s="17">
        <f t="shared" si="7"/>
        <v>0</v>
      </c>
      <c r="T48" s="17">
        <f t="shared" si="7"/>
        <v>0</v>
      </c>
      <c r="U48" s="17">
        <f t="shared" si="7"/>
        <v>0</v>
      </c>
      <c r="V48" s="17">
        <f t="shared" si="7"/>
        <v>0</v>
      </c>
      <c r="W48" s="17">
        <f t="shared" si="7"/>
        <v>0</v>
      </c>
      <c r="X48" s="17">
        <f t="shared" si="7"/>
        <v>0</v>
      </c>
      <c r="Y48" s="17">
        <f t="shared" si="7"/>
        <v>0</v>
      </c>
      <c r="Z48" s="17">
        <f t="shared" si="7"/>
        <v>0</v>
      </c>
      <c r="AA48" s="17">
        <f t="shared" si="7"/>
        <v>0</v>
      </c>
      <c r="AB48" s="17">
        <f t="shared" si="7"/>
        <v>0</v>
      </c>
      <c r="AC48" s="17">
        <f t="shared" si="7"/>
        <v>0</v>
      </c>
      <c r="AD48" s="17">
        <f t="shared" si="7"/>
        <v>0</v>
      </c>
      <c r="AE48" s="17">
        <f t="shared" si="7"/>
        <v>0</v>
      </c>
      <c r="AF48" s="17">
        <f t="shared" si="7"/>
        <v>0</v>
      </c>
      <c r="AG48" s="17">
        <f t="shared" si="7"/>
        <v>0</v>
      </c>
      <c r="AH48" s="17">
        <f t="shared" si="7"/>
        <v>0</v>
      </c>
      <c r="AI48" s="17">
        <f t="shared" si="7"/>
        <v>0</v>
      </c>
      <c r="AJ48" s="17">
        <f t="shared" si="7"/>
        <v>0</v>
      </c>
    </row>
    <row r="49" spans="2:36" ht="15.75" thickBot="1">
      <c r="B49" s="338"/>
      <c r="C49" s="336" t="s">
        <v>65</v>
      </c>
      <c r="D49" s="271" t="s">
        <v>66</v>
      </c>
      <c r="E49" s="269"/>
      <c r="F49" s="270"/>
      <c r="G49" s="270"/>
      <c r="H49" s="270"/>
      <c r="I49" s="270"/>
      <c r="J49" s="270"/>
      <c r="K49" s="270"/>
      <c r="L49" s="270"/>
      <c r="M49" s="270"/>
      <c r="N49" s="270"/>
      <c r="O49" s="270"/>
      <c r="P49" s="270"/>
      <c r="Q49" s="270"/>
      <c r="R49" s="270"/>
      <c r="S49" s="270"/>
      <c r="T49" s="270"/>
      <c r="U49" s="270"/>
      <c r="V49" s="270"/>
      <c r="W49" s="270"/>
      <c r="X49" s="270"/>
      <c r="Y49" s="270"/>
      <c r="Z49" s="270"/>
      <c r="AA49" s="270"/>
      <c r="AB49" s="270"/>
      <c r="AC49" s="270"/>
      <c r="AD49" s="270"/>
      <c r="AE49" s="270"/>
      <c r="AF49" s="270"/>
      <c r="AG49" s="270"/>
      <c r="AH49" s="270"/>
      <c r="AI49" s="270"/>
      <c r="AJ49" s="11">
        <f t="shared" si="0"/>
        <v>0</v>
      </c>
    </row>
    <row r="50" spans="2:36" ht="15.75" thickBot="1">
      <c r="B50" s="338"/>
      <c r="C50" s="336"/>
      <c r="D50" s="271" t="s">
        <v>67</v>
      </c>
      <c r="E50" s="269"/>
      <c r="F50" s="270"/>
      <c r="G50" s="270"/>
      <c r="H50" s="270"/>
      <c r="I50" s="270"/>
      <c r="J50" s="270"/>
      <c r="K50" s="270"/>
      <c r="L50" s="270"/>
      <c r="M50" s="270"/>
      <c r="N50" s="270"/>
      <c r="O50" s="270"/>
      <c r="P50" s="270"/>
      <c r="Q50" s="270"/>
      <c r="R50" s="270"/>
      <c r="S50" s="270"/>
      <c r="T50" s="270"/>
      <c r="U50" s="270"/>
      <c r="V50" s="270"/>
      <c r="W50" s="270"/>
      <c r="X50" s="270"/>
      <c r="Y50" s="270"/>
      <c r="Z50" s="270"/>
      <c r="AA50" s="270"/>
      <c r="AB50" s="270"/>
      <c r="AC50" s="270"/>
      <c r="AD50" s="270"/>
      <c r="AE50" s="270"/>
      <c r="AF50" s="270"/>
      <c r="AG50" s="270"/>
      <c r="AH50" s="270"/>
      <c r="AI50" s="270"/>
      <c r="AJ50" s="11">
        <f t="shared" si="0"/>
        <v>0</v>
      </c>
    </row>
    <row r="51" spans="2:36" ht="15.75" thickBot="1">
      <c r="B51" s="338"/>
      <c r="C51" s="336"/>
      <c r="D51" s="271" t="s">
        <v>52</v>
      </c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69"/>
      <c r="Q51" s="269"/>
      <c r="R51" s="269"/>
      <c r="S51" s="269"/>
      <c r="T51" s="269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11">
        <f t="shared" si="0"/>
        <v>0</v>
      </c>
    </row>
    <row r="52" spans="2:36" ht="15.75" thickBot="1">
      <c r="B52" s="338"/>
      <c r="C52" s="336"/>
      <c r="D52" s="16" t="s">
        <v>17</v>
      </c>
      <c r="E52" s="17">
        <f>SUM(E49:E51)</f>
        <v>0</v>
      </c>
      <c r="F52" s="17">
        <f t="shared" ref="F52:AJ52" si="8">SUM(F49:F51)</f>
        <v>0</v>
      </c>
      <c r="G52" s="17">
        <f t="shared" si="8"/>
        <v>0</v>
      </c>
      <c r="H52" s="17">
        <f t="shared" si="8"/>
        <v>0</v>
      </c>
      <c r="I52" s="17">
        <f t="shared" si="8"/>
        <v>0</v>
      </c>
      <c r="J52" s="17">
        <f t="shared" si="8"/>
        <v>0</v>
      </c>
      <c r="K52" s="17">
        <f t="shared" si="8"/>
        <v>0</v>
      </c>
      <c r="L52" s="17">
        <f t="shared" si="8"/>
        <v>0</v>
      </c>
      <c r="M52" s="17">
        <f t="shared" si="8"/>
        <v>0</v>
      </c>
      <c r="N52" s="17">
        <f t="shared" si="8"/>
        <v>0</v>
      </c>
      <c r="O52" s="17">
        <f t="shared" si="8"/>
        <v>0</v>
      </c>
      <c r="P52" s="17">
        <f t="shared" si="8"/>
        <v>0</v>
      </c>
      <c r="Q52" s="17">
        <f t="shared" si="8"/>
        <v>0</v>
      </c>
      <c r="R52" s="17">
        <f t="shared" si="8"/>
        <v>0</v>
      </c>
      <c r="S52" s="17">
        <f t="shared" si="8"/>
        <v>0</v>
      </c>
      <c r="T52" s="17">
        <f t="shared" si="8"/>
        <v>0</v>
      </c>
      <c r="U52" s="17">
        <f t="shared" si="8"/>
        <v>0</v>
      </c>
      <c r="V52" s="17">
        <f t="shared" si="8"/>
        <v>0</v>
      </c>
      <c r="W52" s="17">
        <f t="shared" si="8"/>
        <v>0</v>
      </c>
      <c r="X52" s="17">
        <f t="shared" si="8"/>
        <v>0</v>
      </c>
      <c r="Y52" s="17">
        <f t="shared" si="8"/>
        <v>0</v>
      </c>
      <c r="Z52" s="17">
        <f t="shared" si="8"/>
        <v>0</v>
      </c>
      <c r="AA52" s="17">
        <f t="shared" si="8"/>
        <v>0</v>
      </c>
      <c r="AB52" s="17">
        <f t="shared" si="8"/>
        <v>0</v>
      </c>
      <c r="AC52" s="17">
        <f t="shared" si="8"/>
        <v>0</v>
      </c>
      <c r="AD52" s="17">
        <f t="shared" si="8"/>
        <v>0</v>
      </c>
      <c r="AE52" s="17">
        <f t="shared" si="8"/>
        <v>0</v>
      </c>
      <c r="AF52" s="17">
        <f t="shared" si="8"/>
        <v>0</v>
      </c>
      <c r="AG52" s="17">
        <f t="shared" si="8"/>
        <v>0</v>
      </c>
      <c r="AH52" s="17">
        <f t="shared" si="8"/>
        <v>0</v>
      </c>
      <c r="AI52" s="17">
        <f t="shared" si="8"/>
        <v>0</v>
      </c>
      <c r="AJ52" s="17">
        <f t="shared" si="8"/>
        <v>0</v>
      </c>
    </row>
    <row r="53" spans="2:36" ht="15.75" thickBot="1">
      <c r="B53" s="338"/>
      <c r="C53" s="336" t="s">
        <v>68</v>
      </c>
      <c r="D53" s="271" t="s">
        <v>69</v>
      </c>
      <c r="E53" s="269"/>
      <c r="F53" s="270"/>
      <c r="G53" s="270"/>
      <c r="H53" s="270"/>
      <c r="I53" s="270"/>
      <c r="J53" s="270"/>
      <c r="K53" s="270"/>
      <c r="L53" s="270"/>
      <c r="M53" s="270"/>
      <c r="N53" s="270"/>
      <c r="O53" s="270"/>
      <c r="P53" s="270"/>
      <c r="Q53" s="270"/>
      <c r="R53" s="270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  <c r="AC53" s="270"/>
      <c r="AD53" s="270"/>
      <c r="AE53" s="270"/>
      <c r="AF53" s="270"/>
      <c r="AG53" s="270"/>
      <c r="AH53" s="270"/>
      <c r="AI53" s="270"/>
      <c r="AJ53" s="11">
        <f t="shared" si="0"/>
        <v>0</v>
      </c>
    </row>
    <row r="54" spans="2:36" ht="15.75" thickBot="1">
      <c r="B54" s="338"/>
      <c r="C54" s="336"/>
      <c r="D54" s="271" t="s">
        <v>70</v>
      </c>
      <c r="E54" s="269"/>
      <c r="F54" s="270"/>
      <c r="G54" s="270"/>
      <c r="H54" s="270"/>
      <c r="I54" s="270"/>
      <c r="J54" s="270"/>
      <c r="K54" s="270"/>
      <c r="L54" s="270"/>
      <c r="M54" s="270"/>
      <c r="N54" s="270"/>
      <c r="O54" s="270"/>
      <c r="P54" s="270"/>
      <c r="Q54" s="270"/>
      <c r="R54" s="270"/>
      <c r="S54" s="270"/>
      <c r="T54" s="270"/>
      <c r="U54" s="270"/>
      <c r="V54" s="270"/>
      <c r="W54" s="270"/>
      <c r="X54" s="270"/>
      <c r="Y54" s="270"/>
      <c r="Z54" s="270"/>
      <c r="AA54" s="270"/>
      <c r="AB54" s="270"/>
      <c r="AC54" s="270"/>
      <c r="AD54" s="270"/>
      <c r="AE54" s="270"/>
      <c r="AF54" s="270"/>
      <c r="AG54" s="270"/>
      <c r="AH54" s="270"/>
      <c r="AI54" s="270"/>
      <c r="AJ54" s="11">
        <f t="shared" si="0"/>
        <v>0</v>
      </c>
    </row>
    <row r="55" spans="2:36" ht="15.75" thickBot="1">
      <c r="B55" s="338"/>
      <c r="C55" s="336"/>
      <c r="D55" s="271" t="s">
        <v>71</v>
      </c>
      <c r="E55" s="269"/>
      <c r="F55" s="270"/>
      <c r="G55" s="270"/>
      <c r="H55" s="270"/>
      <c r="I55" s="270"/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T55" s="270"/>
      <c r="U55" s="270"/>
      <c r="V55" s="270"/>
      <c r="W55" s="270"/>
      <c r="X55" s="270"/>
      <c r="Y55" s="270"/>
      <c r="Z55" s="270"/>
      <c r="AA55" s="270"/>
      <c r="AB55" s="270"/>
      <c r="AC55" s="270"/>
      <c r="AD55" s="270"/>
      <c r="AE55" s="270"/>
      <c r="AF55" s="270"/>
      <c r="AG55" s="270"/>
      <c r="AH55" s="270"/>
      <c r="AI55" s="270"/>
      <c r="AJ55" s="11">
        <f t="shared" si="0"/>
        <v>0</v>
      </c>
    </row>
    <row r="56" spans="2:36" ht="15.75" thickBot="1">
      <c r="B56" s="338"/>
      <c r="C56" s="336"/>
      <c r="D56" s="271" t="s">
        <v>52</v>
      </c>
      <c r="E56" s="269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269"/>
      <c r="Q56" s="269"/>
      <c r="R56" s="269"/>
      <c r="S56" s="269"/>
      <c r="T56" s="269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11">
        <f t="shared" si="0"/>
        <v>0</v>
      </c>
    </row>
    <row r="57" spans="2:36" ht="15.75" thickBot="1">
      <c r="B57" s="338"/>
      <c r="C57" s="336"/>
      <c r="D57" s="16" t="s">
        <v>17</v>
      </c>
      <c r="E57" s="17">
        <f>SUM(E53:E56)</f>
        <v>0</v>
      </c>
      <c r="F57" s="17">
        <f t="shared" ref="F57:AJ57" si="9">SUM(F53:F56)</f>
        <v>0</v>
      </c>
      <c r="G57" s="17">
        <f t="shared" si="9"/>
        <v>0</v>
      </c>
      <c r="H57" s="17">
        <f t="shared" si="9"/>
        <v>0</v>
      </c>
      <c r="I57" s="17">
        <f t="shared" si="9"/>
        <v>0</v>
      </c>
      <c r="J57" s="17">
        <f t="shared" si="9"/>
        <v>0</v>
      </c>
      <c r="K57" s="17">
        <f t="shared" si="9"/>
        <v>0</v>
      </c>
      <c r="L57" s="17">
        <f t="shared" si="9"/>
        <v>0</v>
      </c>
      <c r="M57" s="17">
        <f t="shared" si="9"/>
        <v>0</v>
      </c>
      <c r="N57" s="17">
        <f t="shared" si="9"/>
        <v>0</v>
      </c>
      <c r="O57" s="17">
        <f t="shared" si="9"/>
        <v>0</v>
      </c>
      <c r="P57" s="17">
        <f t="shared" si="9"/>
        <v>0</v>
      </c>
      <c r="Q57" s="17">
        <f t="shared" si="9"/>
        <v>0</v>
      </c>
      <c r="R57" s="17">
        <f t="shared" si="9"/>
        <v>0</v>
      </c>
      <c r="S57" s="17">
        <f t="shared" si="9"/>
        <v>0</v>
      </c>
      <c r="T57" s="17">
        <f t="shared" si="9"/>
        <v>0</v>
      </c>
      <c r="U57" s="17">
        <f t="shared" si="9"/>
        <v>0</v>
      </c>
      <c r="V57" s="17">
        <f t="shared" si="9"/>
        <v>0</v>
      </c>
      <c r="W57" s="17">
        <f t="shared" si="9"/>
        <v>0</v>
      </c>
      <c r="X57" s="17">
        <f t="shared" si="9"/>
        <v>0</v>
      </c>
      <c r="Y57" s="17">
        <f t="shared" si="9"/>
        <v>0</v>
      </c>
      <c r="Z57" s="17">
        <f t="shared" si="9"/>
        <v>0</v>
      </c>
      <c r="AA57" s="17">
        <f t="shared" si="9"/>
        <v>0</v>
      </c>
      <c r="AB57" s="17">
        <f t="shared" si="9"/>
        <v>0</v>
      </c>
      <c r="AC57" s="17">
        <f t="shared" si="9"/>
        <v>0</v>
      </c>
      <c r="AD57" s="17">
        <f t="shared" si="9"/>
        <v>0</v>
      </c>
      <c r="AE57" s="17">
        <f t="shared" si="9"/>
        <v>0</v>
      </c>
      <c r="AF57" s="17">
        <f t="shared" si="9"/>
        <v>0</v>
      </c>
      <c r="AG57" s="17">
        <f t="shared" si="9"/>
        <v>0</v>
      </c>
      <c r="AH57" s="17">
        <f t="shared" si="9"/>
        <v>0</v>
      </c>
      <c r="AI57" s="17">
        <f t="shared" si="9"/>
        <v>0</v>
      </c>
      <c r="AJ57" s="17">
        <f t="shared" si="9"/>
        <v>0</v>
      </c>
    </row>
    <row r="58" spans="2:36" ht="15.75" thickBot="1">
      <c r="B58" s="338"/>
      <c r="C58" s="336" t="s">
        <v>107</v>
      </c>
      <c r="D58" s="275" t="s">
        <v>88</v>
      </c>
      <c r="E58" s="269"/>
      <c r="F58" s="270"/>
      <c r="G58" s="270"/>
      <c r="H58" s="270"/>
      <c r="I58" s="270"/>
      <c r="J58" s="270"/>
      <c r="K58" s="270"/>
      <c r="L58" s="270"/>
      <c r="M58" s="270"/>
      <c r="N58" s="270"/>
      <c r="O58" s="270"/>
      <c r="P58" s="270"/>
      <c r="Q58" s="270"/>
      <c r="R58" s="270"/>
      <c r="S58" s="270"/>
      <c r="T58" s="270"/>
      <c r="U58" s="270"/>
      <c r="V58" s="270"/>
      <c r="W58" s="270"/>
      <c r="X58" s="270"/>
      <c r="Y58" s="270"/>
      <c r="Z58" s="270"/>
      <c r="AA58" s="270"/>
      <c r="AB58" s="270"/>
      <c r="AC58" s="270"/>
      <c r="AD58" s="270"/>
      <c r="AE58" s="270"/>
      <c r="AF58" s="270"/>
      <c r="AG58" s="270"/>
      <c r="AH58" s="270"/>
      <c r="AI58" s="270"/>
      <c r="AJ58" s="11">
        <f t="shared" si="0"/>
        <v>0</v>
      </c>
    </row>
    <row r="59" spans="2:36" ht="15.75" thickBot="1">
      <c r="B59" s="338"/>
      <c r="C59" s="336"/>
      <c r="D59" s="275" t="s">
        <v>89</v>
      </c>
      <c r="E59" s="269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  <c r="AC59" s="270"/>
      <c r="AD59" s="270"/>
      <c r="AE59" s="270"/>
      <c r="AF59" s="270"/>
      <c r="AG59" s="270"/>
      <c r="AH59" s="270"/>
      <c r="AI59" s="270"/>
      <c r="AJ59" s="11">
        <f t="shared" si="0"/>
        <v>0</v>
      </c>
    </row>
    <row r="60" spans="2:36" ht="15.75" thickBot="1">
      <c r="B60" s="338"/>
      <c r="C60" s="336"/>
      <c r="D60" s="275" t="s">
        <v>52</v>
      </c>
      <c r="E60" s="269"/>
      <c r="F60" s="269"/>
      <c r="G60" s="269"/>
      <c r="H60" s="269"/>
      <c r="I60" s="269"/>
      <c r="J60" s="269"/>
      <c r="K60" s="269"/>
      <c r="L60" s="269"/>
      <c r="M60" s="269"/>
      <c r="N60" s="269"/>
      <c r="O60" s="269"/>
      <c r="P60" s="269"/>
      <c r="Q60" s="269"/>
      <c r="R60" s="269"/>
      <c r="S60" s="269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11">
        <f t="shared" si="0"/>
        <v>0</v>
      </c>
    </row>
    <row r="61" spans="2:36" ht="15.75" thickBot="1">
      <c r="B61" s="338"/>
      <c r="C61" s="336"/>
      <c r="D61" s="18" t="s">
        <v>17</v>
      </c>
      <c r="E61" s="17">
        <f>SUM(E58:E60)</f>
        <v>0</v>
      </c>
      <c r="F61" s="17">
        <f t="shared" ref="F61:AJ61" si="10">SUM(F58:F60)</f>
        <v>0</v>
      </c>
      <c r="G61" s="17">
        <f t="shared" si="10"/>
        <v>0</v>
      </c>
      <c r="H61" s="17">
        <f t="shared" si="10"/>
        <v>0</v>
      </c>
      <c r="I61" s="17">
        <f t="shared" si="10"/>
        <v>0</v>
      </c>
      <c r="J61" s="17">
        <f t="shared" si="10"/>
        <v>0</v>
      </c>
      <c r="K61" s="17">
        <f t="shared" si="10"/>
        <v>0</v>
      </c>
      <c r="L61" s="17">
        <f t="shared" si="10"/>
        <v>0</v>
      </c>
      <c r="M61" s="17">
        <f t="shared" si="10"/>
        <v>0</v>
      </c>
      <c r="N61" s="17">
        <f t="shared" si="10"/>
        <v>0</v>
      </c>
      <c r="O61" s="17">
        <f t="shared" si="10"/>
        <v>0</v>
      </c>
      <c r="P61" s="17">
        <f t="shared" si="10"/>
        <v>0</v>
      </c>
      <c r="Q61" s="17">
        <f t="shared" si="10"/>
        <v>0</v>
      </c>
      <c r="R61" s="17">
        <f t="shared" si="10"/>
        <v>0</v>
      </c>
      <c r="S61" s="17">
        <f t="shared" si="10"/>
        <v>0</v>
      </c>
      <c r="T61" s="17">
        <f t="shared" si="10"/>
        <v>0</v>
      </c>
      <c r="U61" s="17">
        <f t="shared" si="10"/>
        <v>0</v>
      </c>
      <c r="V61" s="17">
        <f t="shared" si="10"/>
        <v>0</v>
      </c>
      <c r="W61" s="17">
        <f t="shared" si="10"/>
        <v>0</v>
      </c>
      <c r="X61" s="17">
        <f t="shared" si="10"/>
        <v>0</v>
      </c>
      <c r="Y61" s="17">
        <f t="shared" si="10"/>
        <v>0</v>
      </c>
      <c r="Z61" s="17">
        <f t="shared" si="10"/>
        <v>0</v>
      </c>
      <c r="AA61" s="17">
        <f t="shared" si="10"/>
        <v>0</v>
      </c>
      <c r="AB61" s="17">
        <f t="shared" si="10"/>
        <v>0</v>
      </c>
      <c r="AC61" s="17">
        <f t="shared" si="10"/>
        <v>0</v>
      </c>
      <c r="AD61" s="17">
        <f t="shared" si="10"/>
        <v>0</v>
      </c>
      <c r="AE61" s="17">
        <f t="shared" si="10"/>
        <v>0</v>
      </c>
      <c r="AF61" s="17">
        <f t="shared" si="10"/>
        <v>0</v>
      </c>
      <c r="AG61" s="17">
        <f t="shared" si="10"/>
        <v>0</v>
      </c>
      <c r="AH61" s="17">
        <f t="shared" si="10"/>
        <v>0</v>
      </c>
      <c r="AI61" s="17">
        <f t="shared" si="10"/>
        <v>0</v>
      </c>
      <c r="AJ61" s="17">
        <f t="shared" si="10"/>
        <v>0</v>
      </c>
    </row>
    <row r="62" spans="2:36" ht="15.75" thickBot="1">
      <c r="B62" s="338"/>
      <c r="C62" s="336" t="s">
        <v>72</v>
      </c>
      <c r="D62" s="275" t="s">
        <v>73</v>
      </c>
      <c r="E62" s="269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0"/>
      <c r="T62" s="270"/>
      <c r="U62" s="270"/>
      <c r="V62" s="270"/>
      <c r="W62" s="270"/>
      <c r="X62" s="270"/>
      <c r="Y62" s="270"/>
      <c r="Z62" s="270"/>
      <c r="AA62" s="270"/>
      <c r="AB62" s="270"/>
      <c r="AC62" s="270"/>
      <c r="AD62" s="270"/>
      <c r="AE62" s="270"/>
      <c r="AF62" s="270"/>
      <c r="AG62" s="270"/>
      <c r="AH62" s="270"/>
      <c r="AI62" s="270"/>
      <c r="AJ62" s="11">
        <f t="shared" si="0"/>
        <v>0</v>
      </c>
    </row>
    <row r="63" spans="2:36" ht="15.75" thickBot="1">
      <c r="B63" s="338"/>
      <c r="C63" s="336"/>
      <c r="D63" s="269" t="s">
        <v>56</v>
      </c>
      <c r="E63" s="270"/>
      <c r="F63" s="270"/>
      <c r="G63" s="270"/>
      <c r="H63" s="270"/>
      <c r="I63" s="270"/>
      <c r="J63" s="270"/>
      <c r="K63" s="270"/>
      <c r="L63" s="270"/>
      <c r="M63" s="270"/>
      <c r="N63" s="270"/>
      <c r="O63" s="270"/>
      <c r="P63" s="270"/>
      <c r="Q63" s="270"/>
      <c r="R63" s="270"/>
      <c r="S63" s="270"/>
      <c r="T63" s="270"/>
      <c r="U63" s="270"/>
      <c r="V63" s="270"/>
      <c r="W63" s="270"/>
      <c r="X63" s="270"/>
      <c r="Y63" s="270"/>
      <c r="Z63" s="270"/>
      <c r="AA63" s="270"/>
      <c r="AB63" s="270"/>
      <c r="AC63" s="270"/>
      <c r="AD63" s="270"/>
      <c r="AE63" s="270"/>
      <c r="AF63" s="270"/>
      <c r="AG63" s="270"/>
      <c r="AH63" s="270"/>
      <c r="AI63" s="270"/>
      <c r="AJ63" s="11">
        <f t="shared" si="0"/>
        <v>0</v>
      </c>
    </row>
    <row r="64" spans="2:36" ht="15.75" thickBot="1">
      <c r="B64" s="338"/>
      <c r="C64" s="336"/>
      <c r="D64" s="269" t="s">
        <v>52</v>
      </c>
      <c r="E64" s="270"/>
      <c r="F64" s="270"/>
      <c r="G64" s="270"/>
      <c r="H64" s="270"/>
      <c r="I64" s="270"/>
      <c r="J64" s="270"/>
      <c r="K64" s="270"/>
      <c r="L64" s="270"/>
      <c r="M64" s="270"/>
      <c r="N64" s="270"/>
      <c r="O64" s="270"/>
      <c r="P64" s="270"/>
      <c r="Q64" s="270"/>
      <c r="R64" s="270"/>
      <c r="S64" s="270"/>
      <c r="T64" s="270"/>
      <c r="U64" s="270"/>
      <c r="V64" s="270"/>
      <c r="W64" s="270"/>
      <c r="X64" s="270"/>
      <c r="Y64" s="270"/>
      <c r="Z64" s="270"/>
      <c r="AA64" s="270"/>
      <c r="AB64" s="270"/>
      <c r="AC64" s="270"/>
      <c r="AD64" s="270"/>
      <c r="AE64" s="270"/>
      <c r="AF64" s="270"/>
      <c r="AG64" s="270"/>
      <c r="AH64" s="270"/>
      <c r="AI64" s="270"/>
      <c r="AJ64" s="11">
        <f t="shared" si="0"/>
        <v>0</v>
      </c>
    </row>
    <row r="65" spans="2:36" ht="15.75" thickBot="1">
      <c r="B65" s="338"/>
      <c r="C65" s="336"/>
      <c r="D65" s="17" t="s">
        <v>17</v>
      </c>
      <c r="E65" s="19">
        <f>SUM(E62:E64)</f>
        <v>0</v>
      </c>
      <c r="F65" s="19">
        <f t="shared" ref="F65:AJ65" si="11">SUM(F62:F64)</f>
        <v>0</v>
      </c>
      <c r="G65" s="19">
        <f t="shared" si="11"/>
        <v>0</v>
      </c>
      <c r="H65" s="19">
        <f t="shared" si="11"/>
        <v>0</v>
      </c>
      <c r="I65" s="19">
        <f t="shared" si="11"/>
        <v>0</v>
      </c>
      <c r="J65" s="19">
        <f t="shared" si="11"/>
        <v>0</v>
      </c>
      <c r="K65" s="19">
        <f t="shared" si="11"/>
        <v>0</v>
      </c>
      <c r="L65" s="19">
        <f t="shared" si="11"/>
        <v>0</v>
      </c>
      <c r="M65" s="19">
        <f t="shared" si="11"/>
        <v>0</v>
      </c>
      <c r="N65" s="19">
        <f t="shared" si="11"/>
        <v>0</v>
      </c>
      <c r="O65" s="19">
        <f t="shared" si="11"/>
        <v>0</v>
      </c>
      <c r="P65" s="19">
        <f t="shared" si="11"/>
        <v>0</v>
      </c>
      <c r="Q65" s="19">
        <f t="shared" si="11"/>
        <v>0</v>
      </c>
      <c r="R65" s="19">
        <f t="shared" si="11"/>
        <v>0</v>
      </c>
      <c r="S65" s="19">
        <f t="shared" si="11"/>
        <v>0</v>
      </c>
      <c r="T65" s="19">
        <f t="shared" si="11"/>
        <v>0</v>
      </c>
      <c r="U65" s="19">
        <f t="shared" si="11"/>
        <v>0</v>
      </c>
      <c r="V65" s="19">
        <f t="shared" si="11"/>
        <v>0</v>
      </c>
      <c r="W65" s="19">
        <f t="shared" si="11"/>
        <v>0</v>
      </c>
      <c r="X65" s="19">
        <f t="shared" si="11"/>
        <v>0</v>
      </c>
      <c r="Y65" s="19">
        <f t="shared" si="11"/>
        <v>0</v>
      </c>
      <c r="Z65" s="19">
        <f t="shared" si="11"/>
        <v>0</v>
      </c>
      <c r="AA65" s="19">
        <f t="shared" si="11"/>
        <v>0</v>
      </c>
      <c r="AB65" s="19">
        <f t="shared" si="11"/>
        <v>0</v>
      </c>
      <c r="AC65" s="19">
        <f t="shared" si="11"/>
        <v>0</v>
      </c>
      <c r="AD65" s="19">
        <f t="shared" si="11"/>
        <v>0</v>
      </c>
      <c r="AE65" s="19">
        <f t="shared" si="11"/>
        <v>0</v>
      </c>
      <c r="AF65" s="19">
        <f t="shared" si="11"/>
        <v>0</v>
      </c>
      <c r="AG65" s="19">
        <f t="shared" si="11"/>
        <v>0</v>
      </c>
      <c r="AH65" s="19">
        <f t="shared" si="11"/>
        <v>0</v>
      </c>
      <c r="AI65" s="19">
        <f t="shared" si="11"/>
        <v>0</v>
      </c>
      <c r="AJ65" s="19">
        <f t="shared" si="11"/>
        <v>0</v>
      </c>
    </row>
    <row r="66" spans="2:36">
      <c r="B66" s="5"/>
      <c r="C66" s="5"/>
      <c r="D66" s="14" t="s">
        <v>104</v>
      </c>
      <c r="E66" s="14">
        <f t="shared" ref="E66:AI66" si="12">SUM(E13,E23,E27,E32,E36,E44,E48,E52,E57,E61,E65)</f>
        <v>0</v>
      </c>
      <c r="F66" s="14">
        <f t="shared" si="12"/>
        <v>0</v>
      </c>
      <c r="G66" s="14">
        <f t="shared" si="12"/>
        <v>0</v>
      </c>
      <c r="H66" s="14">
        <f t="shared" si="12"/>
        <v>0</v>
      </c>
      <c r="I66" s="14">
        <f t="shared" si="12"/>
        <v>0</v>
      </c>
      <c r="J66" s="14">
        <f t="shared" si="12"/>
        <v>0</v>
      </c>
      <c r="K66" s="14">
        <f t="shared" si="12"/>
        <v>0</v>
      </c>
      <c r="L66" s="14">
        <f t="shared" si="12"/>
        <v>0</v>
      </c>
      <c r="M66" s="14">
        <f t="shared" si="12"/>
        <v>0</v>
      </c>
      <c r="N66" s="14">
        <f t="shared" si="12"/>
        <v>0</v>
      </c>
      <c r="O66" s="14">
        <f t="shared" si="12"/>
        <v>0</v>
      </c>
      <c r="P66" s="14">
        <f t="shared" si="12"/>
        <v>0</v>
      </c>
      <c r="Q66" s="14">
        <f t="shared" si="12"/>
        <v>0</v>
      </c>
      <c r="R66" s="14">
        <f t="shared" si="12"/>
        <v>0</v>
      </c>
      <c r="S66" s="14">
        <f t="shared" si="12"/>
        <v>0</v>
      </c>
      <c r="T66" s="14">
        <f t="shared" si="12"/>
        <v>0</v>
      </c>
      <c r="U66" s="14">
        <f t="shared" si="12"/>
        <v>0</v>
      </c>
      <c r="V66" s="14">
        <f t="shared" si="12"/>
        <v>0</v>
      </c>
      <c r="W66" s="14">
        <f t="shared" si="12"/>
        <v>0</v>
      </c>
      <c r="X66" s="14">
        <f t="shared" si="12"/>
        <v>0</v>
      </c>
      <c r="Y66" s="14">
        <f t="shared" si="12"/>
        <v>0</v>
      </c>
      <c r="Z66" s="14">
        <f t="shared" si="12"/>
        <v>0</v>
      </c>
      <c r="AA66" s="14">
        <f t="shared" si="12"/>
        <v>0</v>
      </c>
      <c r="AB66" s="14">
        <f t="shared" si="12"/>
        <v>0</v>
      </c>
      <c r="AC66" s="14">
        <f t="shared" si="12"/>
        <v>0</v>
      </c>
      <c r="AD66" s="14">
        <f t="shared" si="12"/>
        <v>0</v>
      </c>
      <c r="AE66" s="14">
        <f t="shared" si="12"/>
        <v>0</v>
      </c>
      <c r="AF66" s="14">
        <f t="shared" si="12"/>
        <v>0</v>
      </c>
      <c r="AG66" s="14">
        <f t="shared" si="12"/>
        <v>0</v>
      </c>
      <c r="AH66" s="14">
        <f t="shared" si="12"/>
        <v>0</v>
      </c>
      <c r="AI66" s="14">
        <f t="shared" si="12"/>
        <v>0</v>
      </c>
      <c r="AJ66" s="27">
        <f t="shared" si="0"/>
        <v>0</v>
      </c>
    </row>
  </sheetData>
  <mergeCells count="13">
    <mergeCell ref="B2:AJ2"/>
    <mergeCell ref="B5:B65"/>
    <mergeCell ref="C37:C44"/>
    <mergeCell ref="C45:C48"/>
    <mergeCell ref="C49:C52"/>
    <mergeCell ref="C53:C57"/>
    <mergeCell ref="C58:C61"/>
    <mergeCell ref="C62:C65"/>
    <mergeCell ref="C5:C13"/>
    <mergeCell ref="C14:C23"/>
    <mergeCell ref="C24:C27"/>
    <mergeCell ref="C28:C32"/>
    <mergeCell ref="C33:C36"/>
  </mergeCells>
  <conditionalFormatting sqref="E28:AI31 E33:AI35 E37:AI43 E45:AI47 E49:AI51 E53:AI56 E58:AI60 E62:AI64">
    <cfRule type="notContainsBlanks" dxfId="26" priority="3">
      <formula>LEN(TRIM(E28))&gt;0</formula>
    </cfRule>
  </conditionalFormatting>
  <conditionalFormatting sqref="D5:D12 D14:D22 D24:D26 D28:D31 D33:D35 D37:D43 D45:D47 D49:D51 D53:D56 D58:D60 D62:D64">
    <cfRule type="notContainsBlanks" dxfId="25" priority="2">
      <formula>LEN(TRIM(D5))&gt;0</formula>
    </cfRule>
  </conditionalFormatting>
  <conditionalFormatting sqref="E5:AI12 E14:AI22 E24:AI26">
    <cfRule type="notContainsBlanks" dxfId="24" priority="1">
      <formula>LEN(TRIM(E5))&gt;0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0"/>
  <dimension ref="B1:AJ66"/>
  <sheetViews>
    <sheetView showGridLines="0" showRowColHeaders="0"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2" max="2" width="18.5703125" customWidth="1"/>
    <col min="3" max="3" width="18.28515625" bestFit="1" customWidth="1"/>
    <col min="4" max="4" width="19.7109375" bestFit="1" customWidth="1"/>
    <col min="5" max="35" width="12.5703125" bestFit="1" customWidth="1"/>
    <col min="36" max="36" width="13.5703125" bestFit="1" customWidth="1"/>
  </cols>
  <sheetData>
    <row r="1" spans="2:36" ht="15.75" thickBot="1"/>
    <row r="2" spans="2:36" ht="33.75" customHeight="1" thickBot="1">
      <c r="B2" s="340" t="s">
        <v>4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</row>
    <row r="4" spans="2:36" ht="15.75" thickBot="1">
      <c r="B4" s="4"/>
      <c r="C4" s="5"/>
      <c r="D4" s="12" t="s">
        <v>57</v>
      </c>
      <c r="E4" s="13">
        <v>1</v>
      </c>
      <c r="F4" s="13">
        <v>2</v>
      </c>
      <c r="G4" s="13">
        <v>3</v>
      </c>
      <c r="H4" s="13">
        <v>4</v>
      </c>
      <c r="I4" s="13">
        <v>5</v>
      </c>
      <c r="J4" s="13">
        <v>6</v>
      </c>
      <c r="K4" s="13">
        <v>7</v>
      </c>
      <c r="L4" s="13">
        <v>8</v>
      </c>
      <c r="M4" s="13">
        <v>9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17</v>
      </c>
      <c r="V4" s="13">
        <v>18</v>
      </c>
      <c r="W4" s="13">
        <v>19</v>
      </c>
      <c r="X4" s="13">
        <v>20</v>
      </c>
      <c r="Y4" s="13">
        <v>21</v>
      </c>
      <c r="Z4" s="13">
        <v>22</v>
      </c>
      <c r="AA4" s="13">
        <v>23</v>
      </c>
      <c r="AB4" s="13">
        <v>24</v>
      </c>
      <c r="AC4" s="13">
        <v>25</v>
      </c>
      <c r="AD4" s="13">
        <v>26</v>
      </c>
      <c r="AE4" s="13">
        <v>27</v>
      </c>
      <c r="AF4" s="13">
        <v>28</v>
      </c>
      <c r="AG4" s="13">
        <v>29</v>
      </c>
      <c r="AH4" s="13">
        <v>30</v>
      </c>
      <c r="AI4" s="13">
        <v>31</v>
      </c>
      <c r="AJ4" s="27" t="s">
        <v>103</v>
      </c>
    </row>
    <row r="5" spans="2:36" ht="15.75" thickBot="1">
      <c r="B5" s="338" t="s">
        <v>127</v>
      </c>
      <c r="C5" s="336" t="s">
        <v>25</v>
      </c>
      <c r="D5" s="268" t="s">
        <v>30</v>
      </c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11">
        <f>SUM(E5:AI5)</f>
        <v>0</v>
      </c>
    </row>
    <row r="6" spans="2:36" ht="15.75" thickBot="1">
      <c r="B6" s="338"/>
      <c r="C6" s="336"/>
      <c r="D6" s="271" t="s">
        <v>26</v>
      </c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11">
        <f t="shared" ref="AJ6:AJ66" si="0">SUM(E6:AI6)</f>
        <v>0</v>
      </c>
    </row>
    <row r="7" spans="2:36" ht="15.75" thickBot="1">
      <c r="B7" s="338"/>
      <c r="C7" s="336"/>
      <c r="D7" s="271" t="s">
        <v>29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11">
        <f t="shared" si="0"/>
        <v>0</v>
      </c>
    </row>
    <row r="8" spans="2:36" ht="15.75" thickBot="1">
      <c r="B8" s="338"/>
      <c r="C8" s="336"/>
      <c r="D8" s="271" t="s">
        <v>27</v>
      </c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11">
        <f t="shared" si="0"/>
        <v>0</v>
      </c>
    </row>
    <row r="9" spans="2:36" ht="15.75" thickBot="1">
      <c r="B9" s="338"/>
      <c r="C9" s="336"/>
      <c r="D9" s="271" t="s">
        <v>28</v>
      </c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11">
        <f t="shared" si="0"/>
        <v>0</v>
      </c>
    </row>
    <row r="10" spans="2:36" ht="15.75" thickBot="1">
      <c r="B10" s="338"/>
      <c r="C10" s="336"/>
      <c r="D10" s="272" t="s">
        <v>86</v>
      </c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11">
        <f t="shared" si="0"/>
        <v>0</v>
      </c>
    </row>
    <row r="11" spans="2:36" ht="15.75" thickBot="1">
      <c r="B11" s="338"/>
      <c r="C11" s="336"/>
      <c r="D11" s="272" t="s">
        <v>87</v>
      </c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11">
        <f t="shared" si="0"/>
        <v>0</v>
      </c>
    </row>
    <row r="12" spans="2:36" ht="15.75" thickBot="1">
      <c r="B12" s="338"/>
      <c r="C12" s="336"/>
      <c r="D12" s="272" t="s">
        <v>52</v>
      </c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11">
        <f t="shared" si="0"/>
        <v>0</v>
      </c>
    </row>
    <row r="13" spans="2:36" ht="15.75" thickBot="1">
      <c r="B13" s="338"/>
      <c r="C13" s="336"/>
      <c r="D13" s="20" t="s">
        <v>17</v>
      </c>
      <c r="E13" s="21">
        <f>SUM(E5:E12)</f>
        <v>0</v>
      </c>
      <c r="F13" s="21">
        <f t="shared" ref="F13:AJ13" si="1">SUM(F5:F12)</f>
        <v>0</v>
      </c>
      <c r="G13" s="21">
        <f t="shared" si="1"/>
        <v>0</v>
      </c>
      <c r="H13" s="21">
        <f t="shared" si="1"/>
        <v>0</v>
      </c>
      <c r="I13" s="21">
        <f t="shared" si="1"/>
        <v>0</v>
      </c>
      <c r="J13" s="21">
        <f t="shared" si="1"/>
        <v>0</v>
      </c>
      <c r="K13" s="21">
        <f t="shared" si="1"/>
        <v>0</v>
      </c>
      <c r="L13" s="21">
        <f t="shared" si="1"/>
        <v>0</v>
      </c>
      <c r="M13" s="21">
        <f t="shared" si="1"/>
        <v>0</v>
      </c>
      <c r="N13" s="21">
        <f t="shared" si="1"/>
        <v>0</v>
      </c>
      <c r="O13" s="21">
        <f t="shared" si="1"/>
        <v>0</v>
      </c>
      <c r="P13" s="21">
        <f t="shared" si="1"/>
        <v>0</v>
      </c>
      <c r="Q13" s="21">
        <f t="shared" si="1"/>
        <v>0</v>
      </c>
      <c r="R13" s="21">
        <f t="shared" si="1"/>
        <v>0</v>
      </c>
      <c r="S13" s="21">
        <f t="shared" si="1"/>
        <v>0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21">
        <f t="shared" si="1"/>
        <v>0</v>
      </c>
      <c r="AG13" s="21">
        <f t="shared" si="1"/>
        <v>0</v>
      </c>
      <c r="AH13" s="21">
        <f t="shared" si="1"/>
        <v>0</v>
      </c>
      <c r="AI13" s="21">
        <f t="shared" si="1"/>
        <v>0</v>
      </c>
      <c r="AJ13" s="21">
        <f t="shared" si="1"/>
        <v>0</v>
      </c>
    </row>
    <row r="14" spans="2:36" ht="15.75" thickBot="1">
      <c r="B14" s="338"/>
      <c r="C14" s="336" t="s">
        <v>23</v>
      </c>
      <c r="D14" s="273" t="s">
        <v>31</v>
      </c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11">
        <f t="shared" si="0"/>
        <v>0</v>
      </c>
    </row>
    <row r="15" spans="2:36" ht="15.75" thickBot="1">
      <c r="B15" s="338"/>
      <c r="C15" s="336"/>
      <c r="D15" s="271" t="s">
        <v>32</v>
      </c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11">
        <f t="shared" si="0"/>
        <v>0</v>
      </c>
    </row>
    <row r="16" spans="2:36" ht="15.75" thickBot="1">
      <c r="B16" s="338"/>
      <c r="C16" s="336"/>
      <c r="D16" s="271" t="s">
        <v>33</v>
      </c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11">
        <f t="shared" si="0"/>
        <v>0</v>
      </c>
    </row>
    <row r="17" spans="2:36" ht="15.75" thickBot="1">
      <c r="B17" s="338"/>
      <c r="C17" s="336"/>
      <c r="D17" s="271" t="s">
        <v>54</v>
      </c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  <c r="AJ17" s="11">
        <f t="shared" si="0"/>
        <v>0</v>
      </c>
    </row>
    <row r="18" spans="2:36" ht="15.75" thickBot="1">
      <c r="B18" s="338"/>
      <c r="C18" s="336"/>
      <c r="D18" s="271" t="s">
        <v>55</v>
      </c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  <c r="AJ18" s="11">
        <f t="shared" si="0"/>
        <v>0</v>
      </c>
    </row>
    <row r="19" spans="2:36" ht="15.75" thickBot="1">
      <c r="B19" s="338"/>
      <c r="C19" s="336"/>
      <c r="D19" s="271" t="s">
        <v>38</v>
      </c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  <c r="AF19" s="269"/>
      <c r="AG19" s="269"/>
      <c r="AH19" s="269"/>
      <c r="AI19" s="269"/>
      <c r="AJ19" s="11">
        <f t="shared" si="0"/>
        <v>0</v>
      </c>
    </row>
    <row r="20" spans="2:36" ht="15.75" thickBot="1">
      <c r="B20" s="338"/>
      <c r="C20" s="336"/>
      <c r="D20" s="271" t="s">
        <v>37</v>
      </c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  <c r="AF20" s="269"/>
      <c r="AG20" s="269"/>
      <c r="AH20" s="269"/>
      <c r="AI20" s="269"/>
      <c r="AJ20" s="11">
        <f t="shared" si="0"/>
        <v>0</v>
      </c>
    </row>
    <row r="21" spans="2:36" ht="15.75" thickBot="1">
      <c r="B21" s="338"/>
      <c r="C21" s="336"/>
      <c r="D21" s="271" t="s">
        <v>75</v>
      </c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  <c r="AF21" s="269"/>
      <c r="AG21" s="269"/>
      <c r="AH21" s="269"/>
      <c r="AI21" s="269"/>
      <c r="AJ21" s="11">
        <f t="shared" si="0"/>
        <v>0</v>
      </c>
    </row>
    <row r="22" spans="2:36" ht="15.75" thickBot="1">
      <c r="B22" s="338"/>
      <c r="C22" s="336"/>
      <c r="D22" s="271" t="s">
        <v>52</v>
      </c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  <c r="AF22" s="269"/>
      <c r="AG22" s="269"/>
      <c r="AH22" s="269"/>
      <c r="AI22" s="269"/>
      <c r="AJ22" s="11">
        <f t="shared" si="0"/>
        <v>0</v>
      </c>
    </row>
    <row r="23" spans="2:36" ht="15.75" thickBot="1">
      <c r="B23" s="338"/>
      <c r="C23" s="336"/>
      <c r="D23" s="22" t="s">
        <v>17</v>
      </c>
      <c r="E23" s="21">
        <f>SUM(E14:E22)</f>
        <v>0</v>
      </c>
      <c r="F23" s="21">
        <f t="shared" ref="F23:AJ23" si="2">SUM(F14:F22)</f>
        <v>0</v>
      </c>
      <c r="G23" s="21">
        <f t="shared" si="2"/>
        <v>0</v>
      </c>
      <c r="H23" s="21">
        <f t="shared" si="2"/>
        <v>0</v>
      </c>
      <c r="I23" s="21">
        <f t="shared" si="2"/>
        <v>0</v>
      </c>
      <c r="J23" s="21">
        <f t="shared" si="2"/>
        <v>0</v>
      </c>
      <c r="K23" s="21">
        <f t="shared" si="2"/>
        <v>0</v>
      </c>
      <c r="L23" s="21">
        <f t="shared" si="2"/>
        <v>0</v>
      </c>
      <c r="M23" s="21">
        <f t="shared" si="2"/>
        <v>0</v>
      </c>
      <c r="N23" s="21">
        <f t="shared" si="2"/>
        <v>0</v>
      </c>
      <c r="O23" s="21">
        <f t="shared" si="2"/>
        <v>0</v>
      </c>
      <c r="P23" s="21">
        <f t="shared" si="2"/>
        <v>0</v>
      </c>
      <c r="Q23" s="21">
        <f t="shared" si="2"/>
        <v>0</v>
      </c>
      <c r="R23" s="21">
        <f t="shared" si="2"/>
        <v>0</v>
      </c>
      <c r="S23" s="21">
        <f t="shared" si="2"/>
        <v>0</v>
      </c>
      <c r="T23" s="21">
        <f t="shared" si="2"/>
        <v>0</v>
      </c>
      <c r="U23" s="21">
        <f t="shared" si="2"/>
        <v>0</v>
      </c>
      <c r="V23" s="21">
        <f t="shared" si="2"/>
        <v>0</v>
      </c>
      <c r="W23" s="21">
        <f t="shared" si="2"/>
        <v>0</v>
      </c>
      <c r="X23" s="21">
        <f t="shared" si="2"/>
        <v>0</v>
      </c>
      <c r="Y23" s="21">
        <f t="shared" si="2"/>
        <v>0</v>
      </c>
      <c r="Z23" s="21">
        <f t="shared" si="2"/>
        <v>0</v>
      </c>
      <c r="AA23" s="21">
        <f t="shared" si="2"/>
        <v>0</v>
      </c>
      <c r="AB23" s="21">
        <f t="shared" si="2"/>
        <v>0</v>
      </c>
      <c r="AC23" s="21">
        <f t="shared" si="2"/>
        <v>0</v>
      </c>
      <c r="AD23" s="21">
        <f t="shared" si="2"/>
        <v>0</v>
      </c>
      <c r="AE23" s="21">
        <f t="shared" si="2"/>
        <v>0</v>
      </c>
      <c r="AF23" s="21">
        <f t="shared" si="2"/>
        <v>0</v>
      </c>
      <c r="AG23" s="21">
        <f t="shared" si="2"/>
        <v>0</v>
      </c>
      <c r="AH23" s="21">
        <f t="shared" si="2"/>
        <v>0</v>
      </c>
      <c r="AI23" s="21">
        <f t="shared" si="2"/>
        <v>0</v>
      </c>
      <c r="AJ23" s="21">
        <f t="shared" si="2"/>
        <v>0</v>
      </c>
    </row>
    <row r="24" spans="2:36" ht="15.75" thickBot="1">
      <c r="B24" s="338"/>
      <c r="C24" s="336" t="s">
        <v>39</v>
      </c>
      <c r="D24" s="271" t="s">
        <v>40</v>
      </c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  <c r="AF24" s="269"/>
      <c r="AG24" s="269"/>
      <c r="AH24" s="269"/>
      <c r="AI24" s="269"/>
      <c r="AJ24" s="11">
        <f t="shared" si="0"/>
        <v>0</v>
      </c>
    </row>
    <row r="25" spans="2:36" ht="15.75" thickBot="1">
      <c r="B25" s="338"/>
      <c r="C25" s="336"/>
      <c r="D25" s="271" t="s">
        <v>41</v>
      </c>
      <c r="E25" s="269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  <c r="AF25" s="269"/>
      <c r="AG25" s="269"/>
      <c r="AH25" s="269"/>
      <c r="AI25" s="269"/>
      <c r="AJ25" s="11">
        <f t="shared" si="0"/>
        <v>0</v>
      </c>
    </row>
    <row r="26" spans="2:36" ht="15.75" thickBot="1">
      <c r="B26" s="338"/>
      <c r="C26" s="336"/>
      <c r="D26" s="271" t="s">
        <v>52</v>
      </c>
      <c r="E26" s="269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  <c r="AF26" s="269"/>
      <c r="AG26" s="269"/>
      <c r="AH26" s="269"/>
      <c r="AI26" s="269"/>
      <c r="AJ26" s="11">
        <f t="shared" si="0"/>
        <v>0</v>
      </c>
    </row>
    <row r="27" spans="2:36" ht="15.75" thickBot="1">
      <c r="B27" s="338"/>
      <c r="C27" s="336"/>
      <c r="D27" s="16" t="s">
        <v>17</v>
      </c>
      <c r="E27" s="17">
        <f>SUM(E24:E26)</f>
        <v>0</v>
      </c>
      <c r="F27" s="17">
        <f t="shared" ref="F27:AJ27" si="3">SUM(F24:F26)</f>
        <v>0</v>
      </c>
      <c r="G27" s="17">
        <f t="shared" si="3"/>
        <v>0</v>
      </c>
      <c r="H27" s="17">
        <f t="shared" si="3"/>
        <v>0</v>
      </c>
      <c r="I27" s="17">
        <f t="shared" si="3"/>
        <v>0</v>
      </c>
      <c r="J27" s="17">
        <f t="shared" si="3"/>
        <v>0</v>
      </c>
      <c r="K27" s="17">
        <f t="shared" si="3"/>
        <v>0</v>
      </c>
      <c r="L27" s="17">
        <f t="shared" si="3"/>
        <v>0</v>
      </c>
      <c r="M27" s="17">
        <f t="shared" si="3"/>
        <v>0</v>
      </c>
      <c r="N27" s="17">
        <f t="shared" si="3"/>
        <v>0</v>
      </c>
      <c r="O27" s="17">
        <f t="shared" si="3"/>
        <v>0</v>
      </c>
      <c r="P27" s="17">
        <f t="shared" si="3"/>
        <v>0</v>
      </c>
      <c r="Q27" s="17">
        <f t="shared" si="3"/>
        <v>0</v>
      </c>
      <c r="R27" s="17">
        <f t="shared" si="3"/>
        <v>0</v>
      </c>
      <c r="S27" s="17">
        <f t="shared" si="3"/>
        <v>0</v>
      </c>
      <c r="T27" s="17">
        <f t="shared" si="3"/>
        <v>0</v>
      </c>
      <c r="U27" s="17">
        <f t="shared" si="3"/>
        <v>0</v>
      </c>
      <c r="V27" s="17">
        <f t="shared" si="3"/>
        <v>0</v>
      </c>
      <c r="W27" s="17">
        <f t="shared" si="3"/>
        <v>0</v>
      </c>
      <c r="X27" s="17">
        <f t="shared" si="3"/>
        <v>0</v>
      </c>
      <c r="Y27" s="17">
        <f t="shared" si="3"/>
        <v>0</v>
      </c>
      <c r="Z27" s="17">
        <f t="shared" si="3"/>
        <v>0</v>
      </c>
      <c r="AA27" s="17">
        <f t="shared" si="3"/>
        <v>0</v>
      </c>
      <c r="AB27" s="17">
        <f t="shared" si="3"/>
        <v>0</v>
      </c>
      <c r="AC27" s="17">
        <f t="shared" si="3"/>
        <v>0</v>
      </c>
      <c r="AD27" s="17">
        <f t="shared" si="3"/>
        <v>0</v>
      </c>
      <c r="AE27" s="17">
        <f t="shared" si="3"/>
        <v>0</v>
      </c>
      <c r="AF27" s="17">
        <f t="shared" si="3"/>
        <v>0</v>
      </c>
      <c r="AG27" s="17">
        <f t="shared" si="3"/>
        <v>0</v>
      </c>
      <c r="AH27" s="17">
        <f t="shared" si="3"/>
        <v>0</v>
      </c>
      <c r="AI27" s="17">
        <f t="shared" si="3"/>
        <v>0</v>
      </c>
      <c r="AJ27" s="17">
        <f t="shared" si="3"/>
        <v>0</v>
      </c>
    </row>
    <row r="28" spans="2:36" ht="15.75" thickBot="1">
      <c r="B28" s="338"/>
      <c r="C28" s="336" t="s">
        <v>45</v>
      </c>
      <c r="D28" s="271" t="s">
        <v>79</v>
      </c>
      <c r="E28" s="269"/>
      <c r="F28" s="270"/>
      <c r="G28" s="270"/>
      <c r="H28" s="270"/>
      <c r="I28" s="270"/>
      <c r="J28" s="270"/>
      <c r="K28" s="270"/>
      <c r="L28" s="270"/>
      <c r="M28" s="270"/>
      <c r="N28" s="270"/>
      <c r="O28" s="270"/>
      <c r="P28" s="270"/>
      <c r="Q28" s="270"/>
      <c r="R28" s="270"/>
      <c r="S28" s="270"/>
      <c r="T28" s="270"/>
      <c r="U28" s="270"/>
      <c r="V28" s="270"/>
      <c r="W28" s="270"/>
      <c r="X28" s="270"/>
      <c r="Y28" s="270"/>
      <c r="Z28" s="270"/>
      <c r="AA28" s="270"/>
      <c r="AB28" s="270"/>
      <c r="AC28" s="270"/>
      <c r="AD28" s="270"/>
      <c r="AE28" s="270"/>
      <c r="AF28" s="270"/>
      <c r="AG28" s="270"/>
      <c r="AH28" s="270"/>
      <c r="AI28" s="270"/>
      <c r="AJ28" s="11">
        <f t="shared" si="0"/>
        <v>0</v>
      </c>
    </row>
    <row r="29" spans="2:36" ht="15.75" thickBot="1">
      <c r="B29" s="338"/>
      <c r="C29" s="336"/>
      <c r="D29" s="271" t="s">
        <v>78</v>
      </c>
      <c r="E29" s="269"/>
      <c r="F29" s="270"/>
      <c r="G29" s="270"/>
      <c r="H29" s="270"/>
      <c r="I29" s="270"/>
      <c r="J29" s="270"/>
      <c r="K29" s="270"/>
      <c r="L29" s="270"/>
      <c r="M29" s="270"/>
      <c r="N29" s="270"/>
      <c r="O29" s="270"/>
      <c r="P29" s="270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11">
        <f t="shared" si="0"/>
        <v>0</v>
      </c>
    </row>
    <row r="30" spans="2:36" ht="15.75" thickBot="1">
      <c r="B30" s="338"/>
      <c r="C30" s="336"/>
      <c r="D30" s="271" t="s">
        <v>48</v>
      </c>
      <c r="E30" s="269"/>
      <c r="F30" s="270"/>
      <c r="G30" s="270"/>
      <c r="H30" s="270"/>
      <c r="I30" s="270"/>
      <c r="J30" s="270"/>
      <c r="K30" s="270"/>
      <c r="L30" s="270"/>
      <c r="M30" s="270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11">
        <f t="shared" si="0"/>
        <v>0</v>
      </c>
    </row>
    <row r="31" spans="2:36" ht="15.75" thickBot="1">
      <c r="B31" s="338"/>
      <c r="C31" s="336"/>
      <c r="D31" s="271" t="s">
        <v>52</v>
      </c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11">
        <f t="shared" si="0"/>
        <v>0</v>
      </c>
    </row>
    <row r="32" spans="2:36" ht="15.75" thickBot="1">
      <c r="B32" s="338"/>
      <c r="C32" s="336"/>
      <c r="D32" s="16" t="s">
        <v>17</v>
      </c>
      <c r="E32" s="17">
        <f>SUM(E28:E31)</f>
        <v>0</v>
      </c>
      <c r="F32" s="17">
        <f t="shared" ref="F32:AJ32" si="4">SUM(F28:F31)</f>
        <v>0</v>
      </c>
      <c r="G32" s="17">
        <f t="shared" si="4"/>
        <v>0</v>
      </c>
      <c r="H32" s="17">
        <f t="shared" si="4"/>
        <v>0</v>
      </c>
      <c r="I32" s="17">
        <f t="shared" si="4"/>
        <v>0</v>
      </c>
      <c r="J32" s="17">
        <f t="shared" si="4"/>
        <v>0</v>
      </c>
      <c r="K32" s="17">
        <f t="shared" si="4"/>
        <v>0</v>
      </c>
      <c r="L32" s="17">
        <f t="shared" si="4"/>
        <v>0</v>
      </c>
      <c r="M32" s="17">
        <f t="shared" si="4"/>
        <v>0</v>
      </c>
      <c r="N32" s="17">
        <f t="shared" si="4"/>
        <v>0</v>
      </c>
      <c r="O32" s="17">
        <f t="shared" si="4"/>
        <v>0</v>
      </c>
      <c r="P32" s="17">
        <f t="shared" si="4"/>
        <v>0</v>
      </c>
      <c r="Q32" s="17">
        <f t="shared" si="4"/>
        <v>0</v>
      </c>
      <c r="R32" s="17">
        <f t="shared" si="4"/>
        <v>0</v>
      </c>
      <c r="S32" s="17">
        <f t="shared" si="4"/>
        <v>0</v>
      </c>
      <c r="T32" s="17">
        <f t="shared" si="4"/>
        <v>0</v>
      </c>
      <c r="U32" s="17">
        <f t="shared" si="4"/>
        <v>0</v>
      </c>
      <c r="V32" s="17">
        <f t="shared" si="4"/>
        <v>0</v>
      </c>
      <c r="W32" s="17">
        <f t="shared" si="4"/>
        <v>0</v>
      </c>
      <c r="X32" s="17">
        <f t="shared" si="4"/>
        <v>0</v>
      </c>
      <c r="Y32" s="17">
        <f t="shared" si="4"/>
        <v>0</v>
      </c>
      <c r="Z32" s="17">
        <f t="shared" si="4"/>
        <v>0</v>
      </c>
      <c r="AA32" s="17">
        <f t="shared" si="4"/>
        <v>0</v>
      </c>
      <c r="AB32" s="17">
        <f t="shared" si="4"/>
        <v>0</v>
      </c>
      <c r="AC32" s="17">
        <f t="shared" si="4"/>
        <v>0</v>
      </c>
      <c r="AD32" s="17">
        <f t="shared" si="4"/>
        <v>0</v>
      </c>
      <c r="AE32" s="17">
        <f t="shared" si="4"/>
        <v>0</v>
      </c>
      <c r="AF32" s="17">
        <f t="shared" si="4"/>
        <v>0</v>
      </c>
      <c r="AG32" s="17">
        <f t="shared" si="4"/>
        <v>0</v>
      </c>
      <c r="AH32" s="17">
        <f t="shared" si="4"/>
        <v>0</v>
      </c>
      <c r="AI32" s="17">
        <f t="shared" si="4"/>
        <v>0</v>
      </c>
      <c r="AJ32" s="17">
        <f t="shared" si="4"/>
        <v>0</v>
      </c>
    </row>
    <row r="33" spans="2:36" ht="15.75" thickBot="1">
      <c r="B33" s="338"/>
      <c r="C33" s="336" t="s">
        <v>22</v>
      </c>
      <c r="D33" s="271" t="s">
        <v>34</v>
      </c>
      <c r="E33" s="269"/>
      <c r="F33" s="270"/>
      <c r="G33" s="270"/>
      <c r="H33" s="270"/>
      <c r="I33" s="270"/>
      <c r="J33" s="270"/>
      <c r="K33" s="270"/>
      <c r="L33" s="270"/>
      <c r="M33" s="270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11">
        <f t="shared" si="0"/>
        <v>0</v>
      </c>
    </row>
    <row r="34" spans="2:36" ht="15.75" thickBot="1">
      <c r="B34" s="338"/>
      <c r="C34" s="336"/>
      <c r="D34" s="271" t="s">
        <v>35</v>
      </c>
      <c r="E34" s="269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11">
        <f t="shared" si="0"/>
        <v>0</v>
      </c>
    </row>
    <row r="35" spans="2:36" ht="15.75" thickBot="1">
      <c r="B35" s="338"/>
      <c r="C35" s="336"/>
      <c r="D35" s="271" t="s">
        <v>52</v>
      </c>
      <c r="E35" s="269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11">
        <f t="shared" si="0"/>
        <v>0</v>
      </c>
    </row>
    <row r="36" spans="2:36" ht="15.75" thickBot="1">
      <c r="B36" s="338"/>
      <c r="C36" s="336"/>
      <c r="D36" s="16" t="s">
        <v>17</v>
      </c>
      <c r="E36" s="17">
        <f>SUM(E33:E35)</f>
        <v>0</v>
      </c>
      <c r="F36" s="17">
        <f t="shared" ref="F36:AJ36" si="5">SUM(F33:F35)</f>
        <v>0</v>
      </c>
      <c r="G36" s="17">
        <f t="shared" si="5"/>
        <v>0</v>
      </c>
      <c r="H36" s="17">
        <f t="shared" si="5"/>
        <v>0</v>
      </c>
      <c r="I36" s="17">
        <f t="shared" si="5"/>
        <v>0</v>
      </c>
      <c r="J36" s="17">
        <f t="shared" si="5"/>
        <v>0</v>
      </c>
      <c r="K36" s="17">
        <f t="shared" si="5"/>
        <v>0</v>
      </c>
      <c r="L36" s="17">
        <f t="shared" si="5"/>
        <v>0</v>
      </c>
      <c r="M36" s="17">
        <f t="shared" si="5"/>
        <v>0</v>
      </c>
      <c r="N36" s="17">
        <f t="shared" si="5"/>
        <v>0</v>
      </c>
      <c r="O36" s="17">
        <f t="shared" si="5"/>
        <v>0</v>
      </c>
      <c r="P36" s="17">
        <f t="shared" si="5"/>
        <v>0</v>
      </c>
      <c r="Q36" s="17">
        <f t="shared" si="5"/>
        <v>0</v>
      </c>
      <c r="R36" s="17">
        <f t="shared" si="5"/>
        <v>0</v>
      </c>
      <c r="S36" s="17">
        <f t="shared" si="5"/>
        <v>0</v>
      </c>
      <c r="T36" s="17">
        <f t="shared" si="5"/>
        <v>0</v>
      </c>
      <c r="U36" s="17">
        <f t="shared" si="5"/>
        <v>0</v>
      </c>
      <c r="V36" s="17">
        <f t="shared" si="5"/>
        <v>0</v>
      </c>
      <c r="W36" s="17">
        <f t="shared" si="5"/>
        <v>0</v>
      </c>
      <c r="X36" s="17">
        <f t="shared" si="5"/>
        <v>0</v>
      </c>
      <c r="Y36" s="17">
        <f t="shared" si="5"/>
        <v>0</v>
      </c>
      <c r="Z36" s="17">
        <f t="shared" si="5"/>
        <v>0</v>
      </c>
      <c r="AA36" s="17">
        <f t="shared" si="5"/>
        <v>0</v>
      </c>
      <c r="AB36" s="17">
        <f t="shared" si="5"/>
        <v>0</v>
      </c>
      <c r="AC36" s="17">
        <f t="shared" si="5"/>
        <v>0</v>
      </c>
      <c r="AD36" s="17">
        <f t="shared" si="5"/>
        <v>0</v>
      </c>
      <c r="AE36" s="17">
        <f t="shared" si="5"/>
        <v>0</v>
      </c>
      <c r="AF36" s="17">
        <f t="shared" si="5"/>
        <v>0</v>
      </c>
      <c r="AG36" s="17">
        <f t="shared" si="5"/>
        <v>0</v>
      </c>
      <c r="AH36" s="17">
        <f t="shared" si="5"/>
        <v>0</v>
      </c>
      <c r="AI36" s="17">
        <f t="shared" si="5"/>
        <v>0</v>
      </c>
      <c r="AJ36" s="17">
        <f t="shared" si="5"/>
        <v>0</v>
      </c>
    </row>
    <row r="37" spans="2:36" ht="15.75" thickBot="1">
      <c r="B37" s="338"/>
      <c r="C37" s="336" t="s">
        <v>58</v>
      </c>
      <c r="D37" s="274" t="s">
        <v>91</v>
      </c>
      <c r="E37" s="269"/>
      <c r="F37" s="270"/>
      <c r="G37" s="270"/>
      <c r="H37" s="270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11">
        <f t="shared" si="0"/>
        <v>0</v>
      </c>
    </row>
    <row r="38" spans="2:36" ht="15.75" thickBot="1">
      <c r="B38" s="338"/>
      <c r="C38" s="336"/>
      <c r="D38" s="271" t="s">
        <v>60</v>
      </c>
      <c r="E38" s="269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  <c r="AC38" s="270"/>
      <c r="AD38" s="270"/>
      <c r="AE38" s="270"/>
      <c r="AF38" s="270"/>
      <c r="AG38" s="270"/>
      <c r="AH38" s="270"/>
      <c r="AI38" s="270"/>
      <c r="AJ38" s="11">
        <f t="shared" si="0"/>
        <v>0</v>
      </c>
    </row>
    <row r="39" spans="2:36" ht="15.75" thickBot="1">
      <c r="B39" s="338"/>
      <c r="C39" s="336"/>
      <c r="D39" s="271" t="s">
        <v>61</v>
      </c>
      <c r="E39" s="269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0"/>
      <c r="AH39" s="270"/>
      <c r="AI39" s="270"/>
      <c r="AJ39" s="11">
        <f t="shared" si="0"/>
        <v>0</v>
      </c>
    </row>
    <row r="40" spans="2:36" ht="15.75" thickBot="1">
      <c r="B40" s="338"/>
      <c r="C40" s="336"/>
      <c r="D40" s="271" t="s">
        <v>62</v>
      </c>
      <c r="E40" s="269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270"/>
      <c r="V40" s="270"/>
      <c r="W40" s="270"/>
      <c r="X40" s="270"/>
      <c r="Y40" s="270"/>
      <c r="Z40" s="270"/>
      <c r="AA40" s="270"/>
      <c r="AB40" s="270"/>
      <c r="AC40" s="270"/>
      <c r="AD40" s="270"/>
      <c r="AE40" s="270"/>
      <c r="AF40" s="270"/>
      <c r="AG40" s="270"/>
      <c r="AH40" s="270"/>
      <c r="AI40" s="270"/>
      <c r="AJ40" s="11">
        <f t="shared" si="0"/>
        <v>0</v>
      </c>
    </row>
    <row r="41" spans="2:36" ht="15.75" thickBot="1">
      <c r="B41" s="338"/>
      <c r="C41" s="336"/>
      <c r="D41" s="271" t="s">
        <v>81</v>
      </c>
      <c r="E41" s="269"/>
      <c r="F41" s="270"/>
      <c r="G41" s="270"/>
      <c r="H41" s="270"/>
      <c r="I41" s="270"/>
      <c r="J41" s="270"/>
      <c r="K41" s="270"/>
      <c r="L41" s="270"/>
      <c r="M41" s="270"/>
      <c r="N41" s="270"/>
      <c r="O41" s="270"/>
      <c r="P41" s="270"/>
      <c r="Q41" s="27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  <c r="AC41" s="270"/>
      <c r="AD41" s="270"/>
      <c r="AE41" s="270"/>
      <c r="AF41" s="270"/>
      <c r="AG41" s="270"/>
      <c r="AH41" s="270"/>
      <c r="AI41" s="270"/>
      <c r="AJ41" s="11">
        <f t="shared" si="0"/>
        <v>0</v>
      </c>
    </row>
    <row r="42" spans="2:36" ht="15.75" thickBot="1">
      <c r="B42" s="338"/>
      <c r="C42" s="336"/>
      <c r="D42" s="271" t="s">
        <v>110</v>
      </c>
      <c r="E42" s="269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11">
        <f t="shared" si="0"/>
        <v>0</v>
      </c>
    </row>
    <row r="43" spans="2:36" ht="15.75" thickBot="1">
      <c r="B43" s="338"/>
      <c r="C43" s="336"/>
      <c r="D43" s="271" t="s">
        <v>52</v>
      </c>
      <c r="E43" s="269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69"/>
      <c r="Q43" s="269"/>
      <c r="R43" s="269"/>
      <c r="S43" s="269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11">
        <f t="shared" si="0"/>
        <v>0</v>
      </c>
    </row>
    <row r="44" spans="2:36" ht="15.75" thickBot="1">
      <c r="B44" s="338"/>
      <c r="C44" s="336"/>
      <c r="D44" s="16" t="s">
        <v>17</v>
      </c>
      <c r="E44" s="17">
        <f>SUM(E37:E43)</f>
        <v>0</v>
      </c>
      <c r="F44" s="17">
        <f t="shared" ref="F44:AJ44" si="6">SUM(F37:F43)</f>
        <v>0</v>
      </c>
      <c r="G44" s="17">
        <f t="shared" si="6"/>
        <v>0</v>
      </c>
      <c r="H44" s="17">
        <f t="shared" si="6"/>
        <v>0</v>
      </c>
      <c r="I44" s="17">
        <f t="shared" si="6"/>
        <v>0</v>
      </c>
      <c r="J44" s="17">
        <f t="shared" si="6"/>
        <v>0</v>
      </c>
      <c r="K44" s="17">
        <f t="shared" si="6"/>
        <v>0</v>
      </c>
      <c r="L44" s="17">
        <f t="shared" si="6"/>
        <v>0</v>
      </c>
      <c r="M44" s="17">
        <f t="shared" si="6"/>
        <v>0</v>
      </c>
      <c r="N44" s="17">
        <f t="shared" si="6"/>
        <v>0</v>
      </c>
      <c r="O44" s="17">
        <f t="shared" si="6"/>
        <v>0</v>
      </c>
      <c r="P44" s="17">
        <f t="shared" si="6"/>
        <v>0</v>
      </c>
      <c r="Q44" s="17">
        <f t="shared" si="6"/>
        <v>0</v>
      </c>
      <c r="R44" s="17">
        <f t="shared" si="6"/>
        <v>0</v>
      </c>
      <c r="S44" s="17">
        <f t="shared" si="6"/>
        <v>0</v>
      </c>
      <c r="T44" s="17">
        <f t="shared" si="6"/>
        <v>0</v>
      </c>
      <c r="U44" s="17">
        <f t="shared" si="6"/>
        <v>0</v>
      </c>
      <c r="V44" s="17">
        <f t="shared" si="6"/>
        <v>0</v>
      </c>
      <c r="W44" s="17">
        <f t="shared" si="6"/>
        <v>0</v>
      </c>
      <c r="X44" s="17">
        <f t="shared" si="6"/>
        <v>0</v>
      </c>
      <c r="Y44" s="17">
        <f t="shared" si="6"/>
        <v>0</v>
      </c>
      <c r="Z44" s="17">
        <f t="shared" si="6"/>
        <v>0</v>
      </c>
      <c r="AA44" s="17">
        <f t="shared" si="6"/>
        <v>0</v>
      </c>
      <c r="AB44" s="17">
        <f t="shared" si="6"/>
        <v>0</v>
      </c>
      <c r="AC44" s="17">
        <f t="shared" si="6"/>
        <v>0</v>
      </c>
      <c r="AD44" s="17">
        <f t="shared" si="6"/>
        <v>0</v>
      </c>
      <c r="AE44" s="17">
        <f t="shared" si="6"/>
        <v>0</v>
      </c>
      <c r="AF44" s="17">
        <f t="shared" si="6"/>
        <v>0</v>
      </c>
      <c r="AG44" s="17">
        <f t="shared" si="6"/>
        <v>0</v>
      </c>
      <c r="AH44" s="17">
        <f t="shared" si="6"/>
        <v>0</v>
      </c>
      <c r="AI44" s="17">
        <f t="shared" si="6"/>
        <v>0</v>
      </c>
      <c r="AJ44" s="17">
        <f t="shared" si="6"/>
        <v>0</v>
      </c>
    </row>
    <row r="45" spans="2:36" ht="15.75" thickBot="1">
      <c r="B45" s="338"/>
      <c r="C45" s="336" t="s">
        <v>36</v>
      </c>
      <c r="D45" s="271" t="s">
        <v>63</v>
      </c>
      <c r="E45" s="269"/>
      <c r="F45" s="270"/>
      <c r="G45" s="270"/>
      <c r="H45" s="270"/>
      <c r="I45" s="270"/>
      <c r="J45" s="270"/>
      <c r="K45" s="270"/>
      <c r="L45" s="270"/>
      <c r="M45" s="270"/>
      <c r="N45" s="270"/>
      <c r="O45" s="270"/>
      <c r="P45" s="270"/>
      <c r="Q45" s="270"/>
      <c r="R45" s="270"/>
      <c r="S45" s="270"/>
      <c r="T45" s="270"/>
      <c r="U45" s="270"/>
      <c r="V45" s="270"/>
      <c r="W45" s="270"/>
      <c r="X45" s="270"/>
      <c r="Y45" s="270"/>
      <c r="Z45" s="270"/>
      <c r="AA45" s="270"/>
      <c r="AB45" s="270"/>
      <c r="AC45" s="270"/>
      <c r="AD45" s="270"/>
      <c r="AE45" s="270"/>
      <c r="AF45" s="270"/>
      <c r="AG45" s="270"/>
      <c r="AH45" s="270"/>
      <c r="AI45" s="270"/>
      <c r="AJ45" s="11">
        <f t="shared" si="0"/>
        <v>0</v>
      </c>
    </row>
    <row r="46" spans="2:36" ht="15.75" thickBot="1">
      <c r="B46" s="338"/>
      <c r="C46" s="336"/>
      <c r="D46" s="271" t="s">
        <v>64</v>
      </c>
      <c r="E46" s="269"/>
      <c r="F46" s="270"/>
      <c r="G46" s="270"/>
      <c r="H46" s="270"/>
      <c r="I46" s="270"/>
      <c r="J46" s="270"/>
      <c r="K46" s="270"/>
      <c r="L46" s="270"/>
      <c r="M46" s="270"/>
      <c r="N46" s="270"/>
      <c r="O46" s="270"/>
      <c r="P46" s="270"/>
      <c r="Q46" s="270"/>
      <c r="R46" s="270"/>
      <c r="S46" s="270"/>
      <c r="T46" s="270"/>
      <c r="U46" s="270"/>
      <c r="V46" s="270"/>
      <c r="W46" s="270"/>
      <c r="X46" s="270"/>
      <c r="Y46" s="270"/>
      <c r="Z46" s="270"/>
      <c r="AA46" s="270"/>
      <c r="AB46" s="270"/>
      <c r="AC46" s="270"/>
      <c r="AD46" s="270"/>
      <c r="AE46" s="270"/>
      <c r="AF46" s="270"/>
      <c r="AG46" s="270"/>
      <c r="AH46" s="270"/>
      <c r="AI46" s="270"/>
      <c r="AJ46" s="11">
        <f t="shared" si="0"/>
        <v>0</v>
      </c>
    </row>
    <row r="47" spans="2:36" ht="15.75" thickBot="1">
      <c r="B47" s="338"/>
      <c r="C47" s="336"/>
      <c r="D47" s="271" t="s">
        <v>52</v>
      </c>
      <c r="E47" s="269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69"/>
      <c r="S47" s="269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11">
        <f t="shared" si="0"/>
        <v>0</v>
      </c>
    </row>
    <row r="48" spans="2:36" ht="15.75" thickBot="1">
      <c r="B48" s="338"/>
      <c r="C48" s="336"/>
      <c r="D48" s="16" t="s">
        <v>17</v>
      </c>
      <c r="E48" s="17">
        <f>SUM(E45:E47)</f>
        <v>0</v>
      </c>
      <c r="F48" s="17">
        <f t="shared" ref="F48:AJ48" si="7">SUM(F45:F47)</f>
        <v>0</v>
      </c>
      <c r="G48" s="17">
        <f t="shared" si="7"/>
        <v>0</v>
      </c>
      <c r="H48" s="17">
        <f t="shared" si="7"/>
        <v>0</v>
      </c>
      <c r="I48" s="17">
        <f t="shared" si="7"/>
        <v>0</v>
      </c>
      <c r="J48" s="17">
        <f t="shared" si="7"/>
        <v>0</v>
      </c>
      <c r="K48" s="17">
        <f t="shared" si="7"/>
        <v>0</v>
      </c>
      <c r="L48" s="17">
        <f t="shared" si="7"/>
        <v>0</v>
      </c>
      <c r="M48" s="17">
        <f t="shared" si="7"/>
        <v>0</v>
      </c>
      <c r="N48" s="17">
        <f t="shared" si="7"/>
        <v>0</v>
      </c>
      <c r="O48" s="17">
        <f t="shared" si="7"/>
        <v>0</v>
      </c>
      <c r="P48" s="17">
        <f t="shared" si="7"/>
        <v>0</v>
      </c>
      <c r="Q48" s="17">
        <f t="shared" si="7"/>
        <v>0</v>
      </c>
      <c r="R48" s="17">
        <f t="shared" si="7"/>
        <v>0</v>
      </c>
      <c r="S48" s="17">
        <f t="shared" si="7"/>
        <v>0</v>
      </c>
      <c r="T48" s="17">
        <f t="shared" si="7"/>
        <v>0</v>
      </c>
      <c r="U48" s="17">
        <f t="shared" si="7"/>
        <v>0</v>
      </c>
      <c r="V48" s="17">
        <f t="shared" si="7"/>
        <v>0</v>
      </c>
      <c r="W48" s="17">
        <f t="shared" si="7"/>
        <v>0</v>
      </c>
      <c r="X48" s="17">
        <f t="shared" si="7"/>
        <v>0</v>
      </c>
      <c r="Y48" s="17">
        <f t="shared" si="7"/>
        <v>0</v>
      </c>
      <c r="Z48" s="17">
        <f t="shared" si="7"/>
        <v>0</v>
      </c>
      <c r="AA48" s="17">
        <f t="shared" si="7"/>
        <v>0</v>
      </c>
      <c r="AB48" s="17">
        <f t="shared" si="7"/>
        <v>0</v>
      </c>
      <c r="AC48" s="17">
        <f t="shared" si="7"/>
        <v>0</v>
      </c>
      <c r="AD48" s="17">
        <f t="shared" si="7"/>
        <v>0</v>
      </c>
      <c r="AE48" s="17">
        <f t="shared" si="7"/>
        <v>0</v>
      </c>
      <c r="AF48" s="17">
        <f t="shared" si="7"/>
        <v>0</v>
      </c>
      <c r="AG48" s="17">
        <f t="shared" si="7"/>
        <v>0</v>
      </c>
      <c r="AH48" s="17">
        <f t="shared" si="7"/>
        <v>0</v>
      </c>
      <c r="AI48" s="17">
        <f t="shared" si="7"/>
        <v>0</v>
      </c>
      <c r="AJ48" s="17">
        <f t="shared" si="7"/>
        <v>0</v>
      </c>
    </row>
    <row r="49" spans="2:36" ht="15.75" thickBot="1">
      <c r="B49" s="338"/>
      <c r="C49" s="336" t="s">
        <v>65</v>
      </c>
      <c r="D49" s="271" t="s">
        <v>66</v>
      </c>
      <c r="E49" s="269"/>
      <c r="F49" s="270"/>
      <c r="G49" s="270"/>
      <c r="H49" s="270"/>
      <c r="I49" s="270"/>
      <c r="J49" s="270"/>
      <c r="K49" s="270"/>
      <c r="L49" s="270"/>
      <c r="M49" s="270"/>
      <c r="N49" s="270"/>
      <c r="O49" s="270"/>
      <c r="P49" s="270"/>
      <c r="Q49" s="270"/>
      <c r="R49" s="270"/>
      <c r="S49" s="270"/>
      <c r="T49" s="270"/>
      <c r="U49" s="270"/>
      <c r="V49" s="270"/>
      <c r="W49" s="270"/>
      <c r="X49" s="270"/>
      <c r="Y49" s="270"/>
      <c r="Z49" s="270"/>
      <c r="AA49" s="270"/>
      <c r="AB49" s="270"/>
      <c r="AC49" s="270"/>
      <c r="AD49" s="270"/>
      <c r="AE49" s="270"/>
      <c r="AF49" s="270"/>
      <c r="AG49" s="270"/>
      <c r="AH49" s="270"/>
      <c r="AI49" s="270"/>
      <c r="AJ49" s="11">
        <f t="shared" si="0"/>
        <v>0</v>
      </c>
    </row>
    <row r="50" spans="2:36" ht="15.75" thickBot="1">
      <c r="B50" s="338"/>
      <c r="C50" s="336"/>
      <c r="D50" s="271" t="s">
        <v>67</v>
      </c>
      <c r="E50" s="269"/>
      <c r="F50" s="270"/>
      <c r="G50" s="270"/>
      <c r="H50" s="270"/>
      <c r="I50" s="270"/>
      <c r="J50" s="270"/>
      <c r="K50" s="270"/>
      <c r="L50" s="270"/>
      <c r="M50" s="270"/>
      <c r="N50" s="270"/>
      <c r="O50" s="270"/>
      <c r="P50" s="270"/>
      <c r="Q50" s="270"/>
      <c r="R50" s="270"/>
      <c r="S50" s="270"/>
      <c r="T50" s="270"/>
      <c r="U50" s="270"/>
      <c r="V50" s="270"/>
      <c r="W50" s="270"/>
      <c r="X50" s="270"/>
      <c r="Y50" s="270"/>
      <c r="Z50" s="270"/>
      <c r="AA50" s="270"/>
      <c r="AB50" s="270"/>
      <c r="AC50" s="270"/>
      <c r="AD50" s="270"/>
      <c r="AE50" s="270"/>
      <c r="AF50" s="270"/>
      <c r="AG50" s="270"/>
      <c r="AH50" s="270"/>
      <c r="AI50" s="270"/>
      <c r="AJ50" s="11">
        <f t="shared" si="0"/>
        <v>0</v>
      </c>
    </row>
    <row r="51" spans="2:36" ht="15.75" thickBot="1">
      <c r="B51" s="338"/>
      <c r="C51" s="336"/>
      <c r="D51" s="271" t="s">
        <v>52</v>
      </c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69"/>
      <c r="Q51" s="269"/>
      <c r="R51" s="269"/>
      <c r="S51" s="269"/>
      <c r="T51" s="269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11">
        <f t="shared" si="0"/>
        <v>0</v>
      </c>
    </row>
    <row r="52" spans="2:36" ht="15.75" thickBot="1">
      <c r="B52" s="338"/>
      <c r="C52" s="336"/>
      <c r="D52" s="16" t="s">
        <v>17</v>
      </c>
      <c r="E52" s="17">
        <f>SUM(E49:E51)</f>
        <v>0</v>
      </c>
      <c r="F52" s="17">
        <f t="shared" ref="F52:AJ52" si="8">SUM(F49:F51)</f>
        <v>0</v>
      </c>
      <c r="G52" s="17">
        <f t="shared" si="8"/>
        <v>0</v>
      </c>
      <c r="H52" s="17">
        <f t="shared" si="8"/>
        <v>0</v>
      </c>
      <c r="I52" s="17">
        <f t="shared" si="8"/>
        <v>0</v>
      </c>
      <c r="J52" s="17">
        <f t="shared" si="8"/>
        <v>0</v>
      </c>
      <c r="K52" s="17">
        <f t="shared" si="8"/>
        <v>0</v>
      </c>
      <c r="L52" s="17">
        <f t="shared" si="8"/>
        <v>0</v>
      </c>
      <c r="M52" s="17">
        <f t="shared" si="8"/>
        <v>0</v>
      </c>
      <c r="N52" s="17">
        <f t="shared" si="8"/>
        <v>0</v>
      </c>
      <c r="O52" s="17">
        <f t="shared" si="8"/>
        <v>0</v>
      </c>
      <c r="P52" s="17">
        <f t="shared" si="8"/>
        <v>0</v>
      </c>
      <c r="Q52" s="17">
        <f t="shared" si="8"/>
        <v>0</v>
      </c>
      <c r="R52" s="17">
        <f t="shared" si="8"/>
        <v>0</v>
      </c>
      <c r="S52" s="17">
        <f t="shared" si="8"/>
        <v>0</v>
      </c>
      <c r="T52" s="17">
        <f t="shared" si="8"/>
        <v>0</v>
      </c>
      <c r="U52" s="17">
        <f t="shared" si="8"/>
        <v>0</v>
      </c>
      <c r="V52" s="17">
        <f t="shared" si="8"/>
        <v>0</v>
      </c>
      <c r="W52" s="17">
        <f t="shared" si="8"/>
        <v>0</v>
      </c>
      <c r="X52" s="17">
        <f t="shared" si="8"/>
        <v>0</v>
      </c>
      <c r="Y52" s="17">
        <f t="shared" si="8"/>
        <v>0</v>
      </c>
      <c r="Z52" s="17">
        <f t="shared" si="8"/>
        <v>0</v>
      </c>
      <c r="AA52" s="17">
        <f t="shared" si="8"/>
        <v>0</v>
      </c>
      <c r="AB52" s="17">
        <f t="shared" si="8"/>
        <v>0</v>
      </c>
      <c r="AC52" s="17">
        <f t="shared" si="8"/>
        <v>0</v>
      </c>
      <c r="AD52" s="17">
        <f t="shared" si="8"/>
        <v>0</v>
      </c>
      <c r="AE52" s="17">
        <f t="shared" si="8"/>
        <v>0</v>
      </c>
      <c r="AF52" s="17">
        <f t="shared" si="8"/>
        <v>0</v>
      </c>
      <c r="AG52" s="17">
        <f t="shared" si="8"/>
        <v>0</v>
      </c>
      <c r="AH52" s="17">
        <f t="shared" si="8"/>
        <v>0</v>
      </c>
      <c r="AI52" s="17">
        <f t="shared" si="8"/>
        <v>0</v>
      </c>
      <c r="AJ52" s="17">
        <f t="shared" si="8"/>
        <v>0</v>
      </c>
    </row>
    <row r="53" spans="2:36" ht="15.75" thickBot="1">
      <c r="B53" s="338"/>
      <c r="C53" s="336" t="s">
        <v>68</v>
      </c>
      <c r="D53" s="271" t="s">
        <v>69</v>
      </c>
      <c r="E53" s="269"/>
      <c r="F53" s="270"/>
      <c r="G53" s="270"/>
      <c r="H53" s="270"/>
      <c r="I53" s="270"/>
      <c r="J53" s="270"/>
      <c r="K53" s="270"/>
      <c r="L53" s="270"/>
      <c r="M53" s="270"/>
      <c r="N53" s="270"/>
      <c r="O53" s="270"/>
      <c r="P53" s="270"/>
      <c r="Q53" s="270"/>
      <c r="R53" s="270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  <c r="AC53" s="270"/>
      <c r="AD53" s="270"/>
      <c r="AE53" s="270"/>
      <c r="AF53" s="270"/>
      <c r="AG53" s="270"/>
      <c r="AH53" s="270"/>
      <c r="AI53" s="270"/>
      <c r="AJ53" s="11">
        <f t="shared" si="0"/>
        <v>0</v>
      </c>
    </row>
    <row r="54" spans="2:36" ht="15.75" thickBot="1">
      <c r="B54" s="338"/>
      <c r="C54" s="336"/>
      <c r="D54" s="271" t="s">
        <v>70</v>
      </c>
      <c r="E54" s="269"/>
      <c r="F54" s="270"/>
      <c r="G54" s="270"/>
      <c r="H54" s="270"/>
      <c r="I54" s="270"/>
      <c r="J54" s="270"/>
      <c r="K54" s="270"/>
      <c r="L54" s="270"/>
      <c r="M54" s="270"/>
      <c r="N54" s="270"/>
      <c r="O54" s="270"/>
      <c r="P54" s="270"/>
      <c r="Q54" s="270"/>
      <c r="R54" s="270"/>
      <c r="S54" s="270"/>
      <c r="T54" s="270"/>
      <c r="U54" s="270"/>
      <c r="V54" s="270"/>
      <c r="W54" s="270"/>
      <c r="X54" s="270"/>
      <c r="Y54" s="270"/>
      <c r="Z54" s="270"/>
      <c r="AA54" s="270"/>
      <c r="AB54" s="270"/>
      <c r="AC54" s="270"/>
      <c r="AD54" s="270"/>
      <c r="AE54" s="270"/>
      <c r="AF54" s="270"/>
      <c r="AG54" s="270"/>
      <c r="AH54" s="270"/>
      <c r="AI54" s="270"/>
      <c r="AJ54" s="11">
        <f t="shared" si="0"/>
        <v>0</v>
      </c>
    </row>
    <row r="55" spans="2:36" ht="15.75" thickBot="1">
      <c r="B55" s="338"/>
      <c r="C55" s="336"/>
      <c r="D55" s="271" t="s">
        <v>71</v>
      </c>
      <c r="E55" s="269"/>
      <c r="F55" s="270"/>
      <c r="G55" s="270"/>
      <c r="H55" s="270"/>
      <c r="I55" s="270"/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T55" s="270"/>
      <c r="U55" s="270"/>
      <c r="V55" s="270"/>
      <c r="W55" s="270"/>
      <c r="X55" s="270"/>
      <c r="Y55" s="270"/>
      <c r="Z55" s="270"/>
      <c r="AA55" s="270"/>
      <c r="AB55" s="270"/>
      <c r="AC55" s="270"/>
      <c r="AD55" s="270"/>
      <c r="AE55" s="270"/>
      <c r="AF55" s="270"/>
      <c r="AG55" s="270"/>
      <c r="AH55" s="270"/>
      <c r="AI55" s="270"/>
      <c r="AJ55" s="11">
        <f t="shared" si="0"/>
        <v>0</v>
      </c>
    </row>
    <row r="56" spans="2:36" ht="15.75" thickBot="1">
      <c r="B56" s="338"/>
      <c r="C56" s="336"/>
      <c r="D56" s="271" t="s">
        <v>52</v>
      </c>
      <c r="E56" s="269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269"/>
      <c r="Q56" s="269"/>
      <c r="R56" s="269"/>
      <c r="S56" s="269"/>
      <c r="T56" s="269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11">
        <f t="shared" si="0"/>
        <v>0</v>
      </c>
    </row>
    <row r="57" spans="2:36" ht="15.75" thickBot="1">
      <c r="B57" s="338"/>
      <c r="C57" s="336"/>
      <c r="D57" s="16" t="s">
        <v>17</v>
      </c>
      <c r="E57" s="17">
        <f>SUM(E53:E56)</f>
        <v>0</v>
      </c>
      <c r="F57" s="17">
        <f t="shared" ref="F57:AJ57" si="9">SUM(F53:F56)</f>
        <v>0</v>
      </c>
      <c r="G57" s="17">
        <f t="shared" si="9"/>
        <v>0</v>
      </c>
      <c r="H57" s="17">
        <f t="shared" si="9"/>
        <v>0</v>
      </c>
      <c r="I57" s="17">
        <f t="shared" si="9"/>
        <v>0</v>
      </c>
      <c r="J57" s="17">
        <f t="shared" si="9"/>
        <v>0</v>
      </c>
      <c r="K57" s="17">
        <f t="shared" si="9"/>
        <v>0</v>
      </c>
      <c r="L57" s="17">
        <f t="shared" si="9"/>
        <v>0</v>
      </c>
      <c r="M57" s="17">
        <f t="shared" si="9"/>
        <v>0</v>
      </c>
      <c r="N57" s="17">
        <f t="shared" si="9"/>
        <v>0</v>
      </c>
      <c r="O57" s="17">
        <f t="shared" si="9"/>
        <v>0</v>
      </c>
      <c r="P57" s="17">
        <f t="shared" si="9"/>
        <v>0</v>
      </c>
      <c r="Q57" s="17">
        <f t="shared" si="9"/>
        <v>0</v>
      </c>
      <c r="R57" s="17">
        <f t="shared" si="9"/>
        <v>0</v>
      </c>
      <c r="S57" s="17">
        <f t="shared" si="9"/>
        <v>0</v>
      </c>
      <c r="T57" s="17">
        <f t="shared" si="9"/>
        <v>0</v>
      </c>
      <c r="U57" s="17">
        <f t="shared" si="9"/>
        <v>0</v>
      </c>
      <c r="V57" s="17">
        <f t="shared" si="9"/>
        <v>0</v>
      </c>
      <c r="W57" s="17">
        <f t="shared" si="9"/>
        <v>0</v>
      </c>
      <c r="X57" s="17">
        <f t="shared" si="9"/>
        <v>0</v>
      </c>
      <c r="Y57" s="17">
        <f t="shared" si="9"/>
        <v>0</v>
      </c>
      <c r="Z57" s="17">
        <f t="shared" si="9"/>
        <v>0</v>
      </c>
      <c r="AA57" s="17">
        <f t="shared" si="9"/>
        <v>0</v>
      </c>
      <c r="AB57" s="17">
        <f t="shared" si="9"/>
        <v>0</v>
      </c>
      <c r="AC57" s="17">
        <f t="shared" si="9"/>
        <v>0</v>
      </c>
      <c r="AD57" s="17">
        <f t="shared" si="9"/>
        <v>0</v>
      </c>
      <c r="AE57" s="17">
        <f t="shared" si="9"/>
        <v>0</v>
      </c>
      <c r="AF57" s="17">
        <f t="shared" si="9"/>
        <v>0</v>
      </c>
      <c r="AG57" s="17">
        <f t="shared" si="9"/>
        <v>0</v>
      </c>
      <c r="AH57" s="17">
        <f t="shared" si="9"/>
        <v>0</v>
      </c>
      <c r="AI57" s="17">
        <f t="shared" si="9"/>
        <v>0</v>
      </c>
      <c r="AJ57" s="17">
        <f t="shared" si="9"/>
        <v>0</v>
      </c>
    </row>
    <row r="58" spans="2:36" ht="15.75" thickBot="1">
      <c r="B58" s="338"/>
      <c r="C58" s="336" t="s">
        <v>107</v>
      </c>
      <c r="D58" s="275" t="s">
        <v>88</v>
      </c>
      <c r="E58" s="269"/>
      <c r="F58" s="270"/>
      <c r="G58" s="270"/>
      <c r="H58" s="270"/>
      <c r="I58" s="270"/>
      <c r="J58" s="270"/>
      <c r="K58" s="270"/>
      <c r="L58" s="270"/>
      <c r="M58" s="270"/>
      <c r="N58" s="270"/>
      <c r="O58" s="270"/>
      <c r="P58" s="270"/>
      <c r="Q58" s="270"/>
      <c r="R58" s="270"/>
      <c r="S58" s="270"/>
      <c r="T58" s="270"/>
      <c r="U58" s="270"/>
      <c r="V58" s="270"/>
      <c r="W58" s="270"/>
      <c r="X58" s="270"/>
      <c r="Y58" s="270"/>
      <c r="Z58" s="270"/>
      <c r="AA58" s="270"/>
      <c r="AB58" s="270"/>
      <c r="AC58" s="270"/>
      <c r="AD58" s="270"/>
      <c r="AE58" s="270"/>
      <c r="AF58" s="270"/>
      <c r="AG58" s="270"/>
      <c r="AH58" s="270"/>
      <c r="AI58" s="270"/>
      <c r="AJ58" s="11">
        <f t="shared" si="0"/>
        <v>0</v>
      </c>
    </row>
    <row r="59" spans="2:36" ht="15.75" thickBot="1">
      <c r="B59" s="338"/>
      <c r="C59" s="336"/>
      <c r="D59" s="275" t="s">
        <v>89</v>
      </c>
      <c r="E59" s="269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  <c r="AC59" s="270"/>
      <c r="AD59" s="270"/>
      <c r="AE59" s="270"/>
      <c r="AF59" s="270"/>
      <c r="AG59" s="270"/>
      <c r="AH59" s="270"/>
      <c r="AI59" s="270"/>
      <c r="AJ59" s="11">
        <f t="shared" si="0"/>
        <v>0</v>
      </c>
    </row>
    <row r="60" spans="2:36" ht="15.75" thickBot="1">
      <c r="B60" s="338"/>
      <c r="C60" s="336"/>
      <c r="D60" s="275" t="s">
        <v>52</v>
      </c>
      <c r="E60" s="269"/>
      <c r="F60" s="269"/>
      <c r="G60" s="269"/>
      <c r="H60" s="269"/>
      <c r="I60" s="269"/>
      <c r="J60" s="269"/>
      <c r="K60" s="269"/>
      <c r="L60" s="269"/>
      <c r="M60" s="269"/>
      <c r="N60" s="269"/>
      <c r="O60" s="269"/>
      <c r="P60" s="269"/>
      <c r="Q60" s="269"/>
      <c r="R60" s="269"/>
      <c r="S60" s="269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11">
        <f t="shared" si="0"/>
        <v>0</v>
      </c>
    </row>
    <row r="61" spans="2:36" ht="15.75" thickBot="1">
      <c r="B61" s="338"/>
      <c r="C61" s="336"/>
      <c r="D61" s="18" t="s">
        <v>17</v>
      </c>
      <c r="E61" s="17">
        <f>SUM(E58:E60)</f>
        <v>0</v>
      </c>
      <c r="F61" s="17">
        <f t="shared" ref="F61:AJ61" si="10">SUM(F58:F60)</f>
        <v>0</v>
      </c>
      <c r="G61" s="17">
        <f t="shared" si="10"/>
        <v>0</v>
      </c>
      <c r="H61" s="17">
        <f t="shared" si="10"/>
        <v>0</v>
      </c>
      <c r="I61" s="17">
        <f t="shared" si="10"/>
        <v>0</v>
      </c>
      <c r="J61" s="17">
        <f t="shared" si="10"/>
        <v>0</v>
      </c>
      <c r="K61" s="17">
        <f t="shared" si="10"/>
        <v>0</v>
      </c>
      <c r="L61" s="17">
        <f t="shared" si="10"/>
        <v>0</v>
      </c>
      <c r="M61" s="17">
        <f t="shared" si="10"/>
        <v>0</v>
      </c>
      <c r="N61" s="17">
        <f t="shared" si="10"/>
        <v>0</v>
      </c>
      <c r="O61" s="17">
        <f t="shared" si="10"/>
        <v>0</v>
      </c>
      <c r="P61" s="17">
        <f t="shared" si="10"/>
        <v>0</v>
      </c>
      <c r="Q61" s="17">
        <f t="shared" si="10"/>
        <v>0</v>
      </c>
      <c r="R61" s="17">
        <f t="shared" si="10"/>
        <v>0</v>
      </c>
      <c r="S61" s="17">
        <f t="shared" si="10"/>
        <v>0</v>
      </c>
      <c r="T61" s="17">
        <f t="shared" si="10"/>
        <v>0</v>
      </c>
      <c r="U61" s="17">
        <f t="shared" si="10"/>
        <v>0</v>
      </c>
      <c r="V61" s="17">
        <f t="shared" si="10"/>
        <v>0</v>
      </c>
      <c r="W61" s="17">
        <f t="shared" si="10"/>
        <v>0</v>
      </c>
      <c r="X61" s="17">
        <f t="shared" si="10"/>
        <v>0</v>
      </c>
      <c r="Y61" s="17">
        <f t="shared" si="10"/>
        <v>0</v>
      </c>
      <c r="Z61" s="17">
        <f t="shared" si="10"/>
        <v>0</v>
      </c>
      <c r="AA61" s="17">
        <f t="shared" si="10"/>
        <v>0</v>
      </c>
      <c r="AB61" s="17">
        <f t="shared" si="10"/>
        <v>0</v>
      </c>
      <c r="AC61" s="17">
        <f t="shared" si="10"/>
        <v>0</v>
      </c>
      <c r="AD61" s="17">
        <f t="shared" si="10"/>
        <v>0</v>
      </c>
      <c r="AE61" s="17">
        <f t="shared" si="10"/>
        <v>0</v>
      </c>
      <c r="AF61" s="17">
        <f t="shared" si="10"/>
        <v>0</v>
      </c>
      <c r="AG61" s="17">
        <f t="shared" si="10"/>
        <v>0</v>
      </c>
      <c r="AH61" s="17">
        <f t="shared" si="10"/>
        <v>0</v>
      </c>
      <c r="AI61" s="17">
        <f t="shared" si="10"/>
        <v>0</v>
      </c>
      <c r="AJ61" s="17">
        <f t="shared" si="10"/>
        <v>0</v>
      </c>
    </row>
    <row r="62" spans="2:36" ht="15.75" thickBot="1">
      <c r="B62" s="338"/>
      <c r="C62" s="336" t="s">
        <v>72</v>
      </c>
      <c r="D62" s="275" t="s">
        <v>73</v>
      </c>
      <c r="E62" s="269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0"/>
      <c r="T62" s="270"/>
      <c r="U62" s="270"/>
      <c r="V62" s="270"/>
      <c r="W62" s="270"/>
      <c r="X62" s="270"/>
      <c r="Y62" s="270"/>
      <c r="Z62" s="270"/>
      <c r="AA62" s="270"/>
      <c r="AB62" s="270"/>
      <c r="AC62" s="270"/>
      <c r="AD62" s="270"/>
      <c r="AE62" s="270"/>
      <c r="AF62" s="270"/>
      <c r="AG62" s="270"/>
      <c r="AH62" s="270"/>
      <c r="AI62" s="270"/>
      <c r="AJ62" s="11">
        <f t="shared" si="0"/>
        <v>0</v>
      </c>
    </row>
    <row r="63" spans="2:36" ht="15.75" thickBot="1">
      <c r="B63" s="338"/>
      <c r="C63" s="336"/>
      <c r="D63" s="269" t="s">
        <v>56</v>
      </c>
      <c r="E63" s="270"/>
      <c r="F63" s="270"/>
      <c r="G63" s="270"/>
      <c r="H63" s="270"/>
      <c r="I63" s="270"/>
      <c r="J63" s="270"/>
      <c r="K63" s="270"/>
      <c r="L63" s="270"/>
      <c r="M63" s="270"/>
      <c r="N63" s="270"/>
      <c r="O63" s="270"/>
      <c r="P63" s="270"/>
      <c r="Q63" s="270"/>
      <c r="R63" s="270"/>
      <c r="S63" s="270"/>
      <c r="T63" s="270"/>
      <c r="U63" s="270"/>
      <c r="V63" s="270"/>
      <c r="W63" s="270"/>
      <c r="X63" s="270"/>
      <c r="Y63" s="270"/>
      <c r="Z63" s="270"/>
      <c r="AA63" s="270"/>
      <c r="AB63" s="270"/>
      <c r="AC63" s="270"/>
      <c r="AD63" s="270"/>
      <c r="AE63" s="270"/>
      <c r="AF63" s="270"/>
      <c r="AG63" s="270"/>
      <c r="AH63" s="270"/>
      <c r="AI63" s="270"/>
      <c r="AJ63" s="11">
        <f t="shared" si="0"/>
        <v>0</v>
      </c>
    </row>
    <row r="64" spans="2:36" ht="15.75" thickBot="1">
      <c r="B64" s="338"/>
      <c r="C64" s="336"/>
      <c r="D64" s="269" t="s">
        <v>52</v>
      </c>
      <c r="E64" s="270"/>
      <c r="F64" s="270"/>
      <c r="G64" s="270"/>
      <c r="H64" s="270"/>
      <c r="I64" s="270"/>
      <c r="J64" s="270"/>
      <c r="K64" s="270"/>
      <c r="L64" s="270"/>
      <c r="M64" s="270"/>
      <c r="N64" s="270"/>
      <c r="O64" s="270"/>
      <c r="P64" s="270"/>
      <c r="Q64" s="270"/>
      <c r="R64" s="270"/>
      <c r="S64" s="270"/>
      <c r="T64" s="270"/>
      <c r="U64" s="270"/>
      <c r="V64" s="270"/>
      <c r="W64" s="270"/>
      <c r="X64" s="270"/>
      <c r="Y64" s="270"/>
      <c r="Z64" s="270"/>
      <c r="AA64" s="270"/>
      <c r="AB64" s="270"/>
      <c r="AC64" s="270"/>
      <c r="AD64" s="270"/>
      <c r="AE64" s="270"/>
      <c r="AF64" s="270"/>
      <c r="AG64" s="270"/>
      <c r="AH64" s="270"/>
      <c r="AI64" s="270"/>
      <c r="AJ64" s="11">
        <f t="shared" si="0"/>
        <v>0</v>
      </c>
    </row>
    <row r="65" spans="2:36" ht="15.75" thickBot="1">
      <c r="B65" s="338"/>
      <c r="C65" s="336"/>
      <c r="D65" s="17" t="s">
        <v>17</v>
      </c>
      <c r="E65" s="19">
        <f>SUM(E62:E64)</f>
        <v>0</v>
      </c>
      <c r="F65" s="19">
        <f t="shared" ref="F65:AJ65" si="11">SUM(F62:F64)</f>
        <v>0</v>
      </c>
      <c r="G65" s="19">
        <f t="shared" si="11"/>
        <v>0</v>
      </c>
      <c r="H65" s="19">
        <f>SUM(H62:H64)</f>
        <v>0</v>
      </c>
      <c r="I65" s="19">
        <f t="shared" si="11"/>
        <v>0</v>
      </c>
      <c r="J65" s="19">
        <f t="shared" si="11"/>
        <v>0</v>
      </c>
      <c r="K65" s="19">
        <f t="shared" si="11"/>
        <v>0</v>
      </c>
      <c r="L65" s="19">
        <f t="shared" si="11"/>
        <v>0</v>
      </c>
      <c r="M65" s="19">
        <f t="shared" si="11"/>
        <v>0</v>
      </c>
      <c r="N65" s="19">
        <f t="shared" si="11"/>
        <v>0</v>
      </c>
      <c r="O65" s="19">
        <f t="shared" si="11"/>
        <v>0</v>
      </c>
      <c r="P65" s="19">
        <f t="shared" si="11"/>
        <v>0</v>
      </c>
      <c r="Q65" s="19">
        <f t="shared" si="11"/>
        <v>0</v>
      </c>
      <c r="R65" s="19">
        <f t="shared" si="11"/>
        <v>0</v>
      </c>
      <c r="S65" s="19">
        <f t="shared" si="11"/>
        <v>0</v>
      </c>
      <c r="T65" s="19">
        <f t="shared" si="11"/>
        <v>0</v>
      </c>
      <c r="U65" s="19">
        <f t="shared" si="11"/>
        <v>0</v>
      </c>
      <c r="V65" s="19">
        <f t="shared" si="11"/>
        <v>0</v>
      </c>
      <c r="W65" s="19">
        <f t="shared" si="11"/>
        <v>0</v>
      </c>
      <c r="X65" s="19">
        <f t="shared" si="11"/>
        <v>0</v>
      </c>
      <c r="Y65" s="19">
        <f t="shared" si="11"/>
        <v>0</v>
      </c>
      <c r="Z65" s="19">
        <f t="shared" si="11"/>
        <v>0</v>
      </c>
      <c r="AA65" s="19">
        <f t="shared" si="11"/>
        <v>0</v>
      </c>
      <c r="AB65" s="19">
        <f t="shared" si="11"/>
        <v>0</v>
      </c>
      <c r="AC65" s="19">
        <f t="shared" si="11"/>
        <v>0</v>
      </c>
      <c r="AD65" s="19">
        <f t="shared" si="11"/>
        <v>0</v>
      </c>
      <c r="AE65" s="19">
        <f t="shared" si="11"/>
        <v>0</v>
      </c>
      <c r="AF65" s="19">
        <f t="shared" si="11"/>
        <v>0</v>
      </c>
      <c r="AG65" s="19">
        <f t="shared" si="11"/>
        <v>0</v>
      </c>
      <c r="AH65" s="19">
        <f t="shared" si="11"/>
        <v>0</v>
      </c>
      <c r="AI65" s="19">
        <f t="shared" si="11"/>
        <v>0</v>
      </c>
      <c r="AJ65" s="19">
        <f t="shared" si="11"/>
        <v>0</v>
      </c>
    </row>
    <row r="66" spans="2:36">
      <c r="B66" s="5"/>
      <c r="C66" s="5"/>
      <c r="D66" s="14" t="s">
        <v>104</v>
      </c>
      <c r="E66" s="14">
        <f t="shared" ref="E66:AI66" si="12">SUM(E13,E23,E27,E32,E36,E44,E48,E52,E57,E61,E65)</f>
        <v>0</v>
      </c>
      <c r="F66" s="14">
        <f t="shared" si="12"/>
        <v>0</v>
      </c>
      <c r="G66" s="14">
        <f t="shared" si="12"/>
        <v>0</v>
      </c>
      <c r="H66" s="14">
        <f t="shared" si="12"/>
        <v>0</v>
      </c>
      <c r="I66" s="14">
        <f t="shared" si="12"/>
        <v>0</v>
      </c>
      <c r="J66" s="14">
        <f t="shared" si="12"/>
        <v>0</v>
      </c>
      <c r="K66" s="14">
        <f t="shared" si="12"/>
        <v>0</v>
      </c>
      <c r="L66" s="14">
        <f t="shared" si="12"/>
        <v>0</v>
      </c>
      <c r="M66" s="14">
        <f t="shared" si="12"/>
        <v>0</v>
      </c>
      <c r="N66" s="14">
        <f t="shared" si="12"/>
        <v>0</v>
      </c>
      <c r="O66" s="14">
        <f t="shared" si="12"/>
        <v>0</v>
      </c>
      <c r="P66" s="14">
        <f t="shared" si="12"/>
        <v>0</v>
      </c>
      <c r="Q66" s="14">
        <f t="shared" si="12"/>
        <v>0</v>
      </c>
      <c r="R66" s="14">
        <f t="shared" si="12"/>
        <v>0</v>
      </c>
      <c r="S66" s="14">
        <f t="shared" si="12"/>
        <v>0</v>
      </c>
      <c r="T66" s="14">
        <f t="shared" si="12"/>
        <v>0</v>
      </c>
      <c r="U66" s="14">
        <f t="shared" si="12"/>
        <v>0</v>
      </c>
      <c r="V66" s="14">
        <f t="shared" si="12"/>
        <v>0</v>
      </c>
      <c r="W66" s="14">
        <f t="shared" si="12"/>
        <v>0</v>
      </c>
      <c r="X66" s="14">
        <f t="shared" si="12"/>
        <v>0</v>
      </c>
      <c r="Y66" s="14">
        <f t="shared" si="12"/>
        <v>0</v>
      </c>
      <c r="Z66" s="14">
        <f t="shared" si="12"/>
        <v>0</v>
      </c>
      <c r="AA66" s="14">
        <f t="shared" si="12"/>
        <v>0</v>
      </c>
      <c r="AB66" s="14">
        <f t="shared" si="12"/>
        <v>0</v>
      </c>
      <c r="AC66" s="14">
        <f t="shared" si="12"/>
        <v>0</v>
      </c>
      <c r="AD66" s="14">
        <f t="shared" si="12"/>
        <v>0</v>
      </c>
      <c r="AE66" s="14">
        <f t="shared" si="12"/>
        <v>0</v>
      </c>
      <c r="AF66" s="14">
        <f t="shared" si="12"/>
        <v>0</v>
      </c>
      <c r="AG66" s="14">
        <f t="shared" si="12"/>
        <v>0</v>
      </c>
      <c r="AH66" s="14">
        <f t="shared" si="12"/>
        <v>0</v>
      </c>
      <c r="AI66" s="14">
        <f t="shared" si="12"/>
        <v>0</v>
      </c>
      <c r="AJ66" s="27">
        <f t="shared" si="0"/>
        <v>0</v>
      </c>
    </row>
  </sheetData>
  <mergeCells count="13">
    <mergeCell ref="B2:AJ2"/>
    <mergeCell ref="B5:B65"/>
    <mergeCell ref="C37:C44"/>
    <mergeCell ref="C45:C48"/>
    <mergeCell ref="C49:C52"/>
    <mergeCell ref="C53:C57"/>
    <mergeCell ref="C58:C61"/>
    <mergeCell ref="C62:C65"/>
    <mergeCell ref="C5:C13"/>
    <mergeCell ref="C14:C23"/>
    <mergeCell ref="C24:C27"/>
    <mergeCell ref="C28:C32"/>
    <mergeCell ref="C33:C36"/>
  </mergeCells>
  <conditionalFormatting sqref="E28:AI31 E33:AI35 E37:AI43 E45:AI47 E49:AI51 E53:AI56 E58:AI60 E62:AI64">
    <cfRule type="notContainsBlanks" dxfId="23" priority="3">
      <formula>LEN(TRIM(E28))&gt;0</formula>
    </cfRule>
  </conditionalFormatting>
  <conditionalFormatting sqref="D5:D12 D14:D22 D24:D26 D28:D31 D33:D35 D37:D43 D45:D47 D49:D51 D53:D56 D58:D60 D62:D64">
    <cfRule type="notContainsBlanks" dxfId="22" priority="2">
      <formula>LEN(TRIM(D5))&gt;0</formula>
    </cfRule>
  </conditionalFormatting>
  <conditionalFormatting sqref="E5:AI12 E14:AI22 E24:AI26">
    <cfRule type="notContainsBlanks" dxfId="21" priority="1">
      <formula>LEN(TRIM(E5))&gt;0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1"/>
  <dimension ref="B1:AJ66"/>
  <sheetViews>
    <sheetView showGridLines="0" showRowColHeaders="0"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2" max="2" width="18.5703125" customWidth="1"/>
    <col min="3" max="3" width="18.28515625" bestFit="1" customWidth="1"/>
    <col min="4" max="4" width="19.7109375" bestFit="1" customWidth="1"/>
    <col min="5" max="35" width="12.5703125" bestFit="1" customWidth="1"/>
    <col min="36" max="36" width="13.5703125" bestFit="1" customWidth="1"/>
  </cols>
  <sheetData>
    <row r="1" spans="2:36" ht="15.75" thickBot="1"/>
    <row r="2" spans="2:36" ht="33.75" customHeight="1" thickBot="1">
      <c r="B2" s="340" t="s">
        <v>5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</row>
    <row r="4" spans="2:36" ht="15.75" thickBot="1">
      <c r="B4" s="4"/>
      <c r="C4" s="5"/>
      <c r="D4" s="12" t="s">
        <v>57</v>
      </c>
      <c r="E4" s="13">
        <v>1</v>
      </c>
      <c r="F4" s="13">
        <v>2</v>
      </c>
      <c r="G4" s="13">
        <v>3</v>
      </c>
      <c r="H4" s="13">
        <v>4</v>
      </c>
      <c r="I4" s="13">
        <v>5</v>
      </c>
      <c r="J4" s="13">
        <v>6</v>
      </c>
      <c r="K4" s="13">
        <v>7</v>
      </c>
      <c r="L4" s="13">
        <v>8</v>
      </c>
      <c r="M4" s="13">
        <v>9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17</v>
      </c>
      <c r="V4" s="13">
        <v>18</v>
      </c>
      <c r="W4" s="13">
        <v>19</v>
      </c>
      <c r="X4" s="13">
        <v>20</v>
      </c>
      <c r="Y4" s="13">
        <v>21</v>
      </c>
      <c r="Z4" s="13">
        <v>22</v>
      </c>
      <c r="AA4" s="13">
        <v>23</v>
      </c>
      <c r="AB4" s="13">
        <v>24</v>
      </c>
      <c r="AC4" s="13">
        <v>25</v>
      </c>
      <c r="AD4" s="13">
        <v>26</v>
      </c>
      <c r="AE4" s="13">
        <v>27</v>
      </c>
      <c r="AF4" s="13">
        <v>28</v>
      </c>
      <c r="AG4" s="13">
        <v>29</v>
      </c>
      <c r="AH4" s="13">
        <v>30</v>
      </c>
      <c r="AI4" s="13">
        <v>31</v>
      </c>
      <c r="AJ4" s="27" t="s">
        <v>103</v>
      </c>
    </row>
    <row r="5" spans="2:36" ht="15.75" thickBot="1">
      <c r="B5" s="341" t="s">
        <v>127</v>
      </c>
      <c r="C5" s="336" t="s">
        <v>25</v>
      </c>
      <c r="D5" s="268" t="s">
        <v>30</v>
      </c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11">
        <f>SUM(E5:AI5)</f>
        <v>0</v>
      </c>
    </row>
    <row r="6" spans="2:36" ht="15.75" thickBot="1">
      <c r="B6" s="341"/>
      <c r="C6" s="336"/>
      <c r="D6" s="271" t="s">
        <v>26</v>
      </c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11">
        <f t="shared" ref="AJ6:AJ66" si="0">SUM(E6:AI6)</f>
        <v>0</v>
      </c>
    </row>
    <row r="7" spans="2:36" ht="15.75" thickBot="1">
      <c r="B7" s="341"/>
      <c r="C7" s="336"/>
      <c r="D7" s="271" t="s">
        <v>29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11">
        <f t="shared" si="0"/>
        <v>0</v>
      </c>
    </row>
    <row r="8" spans="2:36" ht="15.75" thickBot="1">
      <c r="B8" s="341"/>
      <c r="C8" s="336"/>
      <c r="D8" s="271" t="s">
        <v>27</v>
      </c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11">
        <f t="shared" si="0"/>
        <v>0</v>
      </c>
    </row>
    <row r="9" spans="2:36" ht="15.75" thickBot="1">
      <c r="B9" s="341"/>
      <c r="C9" s="336"/>
      <c r="D9" s="271" t="s">
        <v>28</v>
      </c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11">
        <f t="shared" si="0"/>
        <v>0</v>
      </c>
    </row>
    <row r="10" spans="2:36" ht="15.75" thickBot="1">
      <c r="B10" s="341"/>
      <c r="C10" s="336"/>
      <c r="D10" s="272" t="s">
        <v>86</v>
      </c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11">
        <f t="shared" si="0"/>
        <v>0</v>
      </c>
    </row>
    <row r="11" spans="2:36" ht="15.75" thickBot="1">
      <c r="B11" s="341"/>
      <c r="C11" s="336"/>
      <c r="D11" s="272" t="s">
        <v>87</v>
      </c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11">
        <f t="shared" si="0"/>
        <v>0</v>
      </c>
    </row>
    <row r="12" spans="2:36" ht="15.75" thickBot="1">
      <c r="B12" s="341"/>
      <c r="C12" s="336"/>
      <c r="D12" s="272" t="s">
        <v>52</v>
      </c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11">
        <f t="shared" si="0"/>
        <v>0</v>
      </c>
    </row>
    <row r="13" spans="2:36" ht="15.75" thickBot="1">
      <c r="B13" s="341"/>
      <c r="C13" s="336"/>
      <c r="D13" s="20" t="s">
        <v>17</v>
      </c>
      <c r="E13" s="21">
        <f>SUM(E5:E12)</f>
        <v>0</v>
      </c>
      <c r="F13" s="21">
        <f t="shared" ref="F13:AJ13" si="1">SUM(F5:F12)</f>
        <v>0</v>
      </c>
      <c r="G13" s="21">
        <f t="shared" si="1"/>
        <v>0</v>
      </c>
      <c r="H13" s="21">
        <f>SUM(H5:H12)</f>
        <v>0</v>
      </c>
      <c r="I13" s="21">
        <f t="shared" si="1"/>
        <v>0</v>
      </c>
      <c r="J13" s="21">
        <f>SUM(J5:J12)</f>
        <v>0</v>
      </c>
      <c r="K13" s="21">
        <f t="shared" si="1"/>
        <v>0</v>
      </c>
      <c r="L13" s="21">
        <f t="shared" si="1"/>
        <v>0</v>
      </c>
      <c r="M13" s="21">
        <f t="shared" si="1"/>
        <v>0</v>
      </c>
      <c r="N13" s="21">
        <f t="shared" si="1"/>
        <v>0</v>
      </c>
      <c r="O13" s="21">
        <f t="shared" si="1"/>
        <v>0</v>
      </c>
      <c r="P13" s="21">
        <f t="shared" si="1"/>
        <v>0</v>
      </c>
      <c r="Q13" s="21">
        <f t="shared" si="1"/>
        <v>0</v>
      </c>
      <c r="R13" s="21">
        <f t="shared" si="1"/>
        <v>0</v>
      </c>
      <c r="S13" s="21">
        <f t="shared" si="1"/>
        <v>0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21">
        <f t="shared" si="1"/>
        <v>0</v>
      </c>
      <c r="AG13" s="21">
        <f t="shared" si="1"/>
        <v>0</v>
      </c>
      <c r="AH13" s="21">
        <f t="shared" si="1"/>
        <v>0</v>
      </c>
      <c r="AI13" s="21">
        <f t="shared" si="1"/>
        <v>0</v>
      </c>
      <c r="AJ13" s="21">
        <f t="shared" si="1"/>
        <v>0</v>
      </c>
    </row>
    <row r="14" spans="2:36" ht="15.75" thickBot="1">
      <c r="B14" s="341"/>
      <c r="C14" s="336" t="s">
        <v>23</v>
      </c>
      <c r="D14" s="273" t="s">
        <v>31</v>
      </c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11">
        <f t="shared" si="0"/>
        <v>0</v>
      </c>
    </row>
    <row r="15" spans="2:36" ht="15.75" thickBot="1">
      <c r="B15" s="341"/>
      <c r="C15" s="336"/>
      <c r="D15" s="271" t="s">
        <v>32</v>
      </c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11">
        <f t="shared" si="0"/>
        <v>0</v>
      </c>
    </row>
    <row r="16" spans="2:36" ht="15.75" thickBot="1">
      <c r="B16" s="341"/>
      <c r="C16" s="336"/>
      <c r="D16" s="271" t="s">
        <v>33</v>
      </c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11">
        <f t="shared" si="0"/>
        <v>0</v>
      </c>
    </row>
    <row r="17" spans="2:36" ht="15.75" thickBot="1">
      <c r="B17" s="341"/>
      <c r="C17" s="336"/>
      <c r="D17" s="271" t="s">
        <v>54</v>
      </c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  <c r="AJ17" s="11">
        <f t="shared" si="0"/>
        <v>0</v>
      </c>
    </row>
    <row r="18" spans="2:36" ht="15.75" thickBot="1">
      <c r="B18" s="341"/>
      <c r="C18" s="336"/>
      <c r="D18" s="271" t="s">
        <v>55</v>
      </c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  <c r="AJ18" s="11">
        <f t="shared" si="0"/>
        <v>0</v>
      </c>
    </row>
    <row r="19" spans="2:36" ht="15.75" thickBot="1">
      <c r="B19" s="341"/>
      <c r="C19" s="336"/>
      <c r="D19" s="271" t="s">
        <v>38</v>
      </c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  <c r="AF19" s="269"/>
      <c r="AG19" s="269"/>
      <c r="AH19" s="269"/>
      <c r="AI19" s="269"/>
      <c r="AJ19" s="11">
        <f t="shared" si="0"/>
        <v>0</v>
      </c>
    </row>
    <row r="20" spans="2:36" ht="15.75" thickBot="1">
      <c r="B20" s="341"/>
      <c r="C20" s="336"/>
      <c r="D20" s="271" t="s">
        <v>37</v>
      </c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  <c r="AF20" s="269"/>
      <c r="AG20" s="269"/>
      <c r="AH20" s="269"/>
      <c r="AI20" s="269"/>
      <c r="AJ20" s="11">
        <f t="shared" si="0"/>
        <v>0</v>
      </c>
    </row>
    <row r="21" spans="2:36" ht="15.75" thickBot="1">
      <c r="B21" s="341"/>
      <c r="C21" s="336"/>
      <c r="D21" s="271" t="s">
        <v>75</v>
      </c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  <c r="AF21" s="269"/>
      <c r="AG21" s="269"/>
      <c r="AH21" s="269"/>
      <c r="AI21" s="269"/>
      <c r="AJ21" s="11">
        <f t="shared" si="0"/>
        <v>0</v>
      </c>
    </row>
    <row r="22" spans="2:36" ht="15.75" thickBot="1">
      <c r="B22" s="341"/>
      <c r="C22" s="336"/>
      <c r="D22" s="271" t="s">
        <v>52</v>
      </c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  <c r="AF22" s="269"/>
      <c r="AG22" s="269"/>
      <c r="AH22" s="269"/>
      <c r="AI22" s="269"/>
      <c r="AJ22" s="11">
        <f t="shared" si="0"/>
        <v>0</v>
      </c>
    </row>
    <row r="23" spans="2:36" ht="15.75" thickBot="1">
      <c r="B23" s="341"/>
      <c r="C23" s="336"/>
      <c r="D23" s="22" t="s">
        <v>17</v>
      </c>
      <c r="E23" s="21">
        <f>SUM(E14:E22)</f>
        <v>0</v>
      </c>
      <c r="F23" s="21">
        <f t="shared" ref="F23:AJ23" si="2">SUM(F14:F22)</f>
        <v>0</v>
      </c>
      <c r="G23" s="21">
        <f t="shared" si="2"/>
        <v>0</v>
      </c>
      <c r="H23" s="21">
        <f t="shared" si="2"/>
        <v>0</v>
      </c>
      <c r="I23" s="21">
        <f t="shared" si="2"/>
        <v>0</v>
      </c>
      <c r="J23" s="21">
        <f t="shared" si="2"/>
        <v>0</v>
      </c>
      <c r="K23" s="21">
        <f t="shared" si="2"/>
        <v>0</v>
      </c>
      <c r="L23" s="21">
        <f t="shared" si="2"/>
        <v>0</v>
      </c>
      <c r="M23" s="21">
        <f t="shared" si="2"/>
        <v>0</v>
      </c>
      <c r="N23" s="21">
        <f t="shared" si="2"/>
        <v>0</v>
      </c>
      <c r="O23" s="21">
        <f t="shared" si="2"/>
        <v>0</v>
      </c>
      <c r="P23" s="21">
        <f t="shared" si="2"/>
        <v>0</v>
      </c>
      <c r="Q23" s="21">
        <f t="shared" si="2"/>
        <v>0</v>
      </c>
      <c r="R23" s="21">
        <f t="shared" si="2"/>
        <v>0</v>
      </c>
      <c r="S23" s="21">
        <f t="shared" si="2"/>
        <v>0</v>
      </c>
      <c r="T23" s="21">
        <f t="shared" si="2"/>
        <v>0</v>
      </c>
      <c r="U23" s="21">
        <f t="shared" si="2"/>
        <v>0</v>
      </c>
      <c r="V23" s="21">
        <f t="shared" si="2"/>
        <v>0</v>
      </c>
      <c r="W23" s="21">
        <f t="shared" si="2"/>
        <v>0</v>
      </c>
      <c r="X23" s="21">
        <f t="shared" si="2"/>
        <v>0</v>
      </c>
      <c r="Y23" s="21">
        <f t="shared" si="2"/>
        <v>0</v>
      </c>
      <c r="Z23" s="21">
        <f t="shared" si="2"/>
        <v>0</v>
      </c>
      <c r="AA23" s="21">
        <f t="shared" si="2"/>
        <v>0</v>
      </c>
      <c r="AB23" s="21">
        <f t="shared" si="2"/>
        <v>0</v>
      </c>
      <c r="AC23" s="21">
        <f t="shared" si="2"/>
        <v>0</v>
      </c>
      <c r="AD23" s="21">
        <f t="shared" si="2"/>
        <v>0</v>
      </c>
      <c r="AE23" s="21">
        <f t="shared" si="2"/>
        <v>0</v>
      </c>
      <c r="AF23" s="21">
        <f t="shared" si="2"/>
        <v>0</v>
      </c>
      <c r="AG23" s="21">
        <f t="shared" si="2"/>
        <v>0</v>
      </c>
      <c r="AH23" s="21">
        <f t="shared" si="2"/>
        <v>0</v>
      </c>
      <c r="AI23" s="21">
        <f t="shared" si="2"/>
        <v>0</v>
      </c>
      <c r="AJ23" s="21">
        <f t="shared" si="2"/>
        <v>0</v>
      </c>
    </row>
    <row r="24" spans="2:36" ht="15.75" thickBot="1">
      <c r="B24" s="341"/>
      <c r="C24" s="336" t="s">
        <v>39</v>
      </c>
      <c r="D24" s="271" t="s">
        <v>40</v>
      </c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  <c r="AF24" s="269"/>
      <c r="AG24" s="269"/>
      <c r="AH24" s="269"/>
      <c r="AI24" s="269"/>
      <c r="AJ24" s="11">
        <f t="shared" si="0"/>
        <v>0</v>
      </c>
    </row>
    <row r="25" spans="2:36" ht="15.75" thickBot="1">
      <c r="B25" s="341"/>
      <c r="C25" s="336"/>
      <c r="D25" s="271" t="s">
        <v>41</v>
      </c>
      <c r="E25" s="269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  <c r="AF25" s="269"/>
      <c r="AG25" s="269"/>
      <c r="AH25" s="269"/>
      <c r="AI25" s="269"/>
      <c r="AJ25" s="11">
        <f t="shared" si="0"/>
        <v>0</v>
      </c>
    </row>
    <row r="26" spans="2:36" ht="15.75" thickBot="1">
      <c r="B26" s="341"/>
      <c r="C26" s="336"/>
      <c r="D26" s="271" t="s">
        <v>52</v>
      </c>
      <c r="E26" s="269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  <c r="AF26" s="269"/>
      <c r="AG26" s="269"/>
      <c r="AH26" s="269"/>
      <c r="AI26" s="269"/>
      <c r="AJ26" s="11">
        <f t="shared" si="0"/>
        <v>0</v>
      </c>
    </row>
    <row r="27" spans="2:36" ht="15.75" thickBot="1">
      <c r="B27" s="341"/>
      <c r="C27" s="336"/>
      <c r="D27" s="16" t="s">
        <v>17</v>
      </c>
      <c r="E27" s="17">
        <f>SUM(E24:E26)</f>
        <v>0</v>
      </c>
      <c r="F27" s="17">
        <f t="shared" ref="F27:AJ27" si="3">SUM(F24:F26)</f>
        <v>0</v>
      </c>
      <c r="G27" s="17">
        <f t="shared" si="3"/>
        <v>0</v>
      </c>
      <c r="H27" s="17">
        <f t="shared" si="3"/>
        <v>0</v>
      </c>
      <c r="I27" s="17">
        <f t="shared" si="3"/>
        <v>0</v>
      </c>
      <c r="J27" s="17">
        <f t="shared" si="3"/>
        <v>0</v>
      </c>
      <c r="K27" s="17">
        <f t="shared" si="3"/>
        <v>0</v>
      </c>
      <c r="L27" s="17">
        <f t="shared" si="3"/>
        <v>0</v>
      </c>
      <c r="M27" s="17">
        <f t="shared" si="3"/>
        <v>0</v>
      </c>
      <c r="N27" s="17">
        <f t="shared" si="3"/>
        <v>0</v>
      </c>
      <c r="O27" s="17">
        <f t="shared" si="3"/>
        <v>0</v>
      </c>
      <c r="P27" s="17">
        <f t="shared" si="3"/>
        <v>0</v>
      </c>
      <c r="Q27" s="17">
        <f t="shared" si="3"/>
        <v>0</v>
      </c>
      <c r="R27" s="17">
        <f t="shared" si="3"/>
        <v>0</v>
      </c>
      <c r="S27" s="17">
        <f t="shared" si="3"/>
        <v>0</v>
      </c>
      <c r="T27" s="17">
        <f t="shared" si="3"/>
        <v>0</v>
      </c>
      <c r="U27" s="17">
        <f t="shared" si="3"/>
        <v>0</v>
      </c>
      <c r="V27" s="17">
        <f t="shared" si="3"/>
        <v>0</v>
      </c>
      <c r="W27" s="17">
        <f t="shared" si="3"/>
        <v>0</v>
      </c>
      <c r="X27" s="17">
        <f t="shared" si="3"/>
        <v>0</v>
      </c>
      <c r="Y27" s="17">
        <f t="shared" si="3"/>
        <v>0</v>
      </c>
      <c r="Z27" s="17">
        <f t="shared" si="3"/>
        <v>0</v>
      </c>
      <c r="AA27" s="17">
        <f t="shared" si="3"/>
        <v>0</v>
      </c>
      <c r="AB27" s="17">
        <f t="shared" si="3"/>
        <v>0</v>
      </c>
      <c r="AC27" s="17">
        <f t="shared" si="3"/>
        <v>0</v>
      </c>
      <c r="AD27" s="17">
        <f t="shared" si="3"/>
        <v>0</v>
      </c>
      <c r="AE27" s="17">
        <f t="shared" si="3"/>
        <v>0</v>
      </c>
      <c r="AF27" s="17">
        <f t="shared" si="3"/>
        <v>0</v>
      </c>
      <c r="AG27" s="17">
        <f t="shared" si="3"/>
        <v>0</v>
      </c>
      <c r="AH27" s="17">
        <f t="shared" si="3"/>
        <v>0</v>
      </c>
      <c r="AI27" s="17">
        <f t="shared" si="3"/>
        <v>0</v>
      </c>
      <c r="AJ27" s="17">
        <f t="shared" si="3"/>
        <v>0</v>
      </c>
    </row>
    <row r="28" spans="2:36" ht="15.75" thickBot="1">
      <c r="B28" s="341"/>
      <c r="C28" s="336" t="s">
        <v>45</v>
      </c>
      <c r="D28" s="271" t="s">
        <v>79</v>
      </c>
      <c r="E28" s="269"/>
      <c r="F28" s="270"/>
      <c r="G28" s="270"/>
      <c r="H28" s="270"/>
      <c r="I28" s="270"/>
      <c r="J28" s="270"/>
      <c r="K28" s="270"/>
      <c r="L28" s="270"/>
      <c r="M28" s="270"/>
      <c r="N28" s="270"/>
      <c r="O28" s="270"/>
      <c r="P28" s="270"/>
      <c r="Q28" s="270"/>
      <c r="R28" s="270"/>
      <c r="S28" s="270"/>
      <c r="T28" s="270"/>
      <c r="U28" s="270"/>
      <c r="V28" s="270"/>
      <c r="W28" s="270"/>
      <c r="X28" s="270"/>
      <c r="Y28" s="270"/>
      <c r="Z28" s="270"/>
      <c r="AA28" s="270"/>
      <c r="AB28" s="270"/>
      <c r="AC28" s="270"/>
      <c r="AD28" s="270"/>
      <c r="AE28" s="270"/>
      <c r="AF28" s="270"/>
      <c r="AG28" s="270"/>
      <c r="AH28" s="270"/>
      <c r="AI28" s="270"/>
      <c r="AJ28" s="11">
        <f t="shared" si="0"/>
        <v>0</v>
      </c>
    </row>
    <row r="29" spans="2:36" ht="15.75" thickBot="1">
      <c r="B29" s="341"/>
      <c r="C29" s="336"/>
      <c r="D29" s="271" t="s">
        <v>78</v>
      </c>
      <c r="E29" s="269"/>
      <c r="F29" s="270"/>
      <c r="G29" s="270"/>
      <c r="H29" s="270"/>
      <c r="I29" s="270"/>
      <c r="J29" s="270"/>
      <c r="K29" s="270"/>
      <c r="L29" s="270"/>
      <c r="M29" s="270"/>
      <c r="N29" s="270"/>
      <c r="O29" s="270"/>
      <c r="P29" s="270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11">
        <f t="shared" si="0"/>
        <v>0</v>
      </c>
    </row>
    <row r="30" spans="2:36" ht="15.75" thickBot="1">
      <c r="B30" s="341"/>
      <c r="C30" s="336"/>
      <c r="D30" s="271" t="s">
        <v>48</v>
      </c>
      <c r="E30" s="269"/>
      <c r="F30" s="270"/>
      <c r="G30" s="270"/>
      <c r="H30" s="270"/>
      <c r="I30" s="270"/>
      <c r="J30" s="270"/>
      <c r="K30" s="270"/>
      <c r="L30" s="270"/>
      <c r="M30" s="270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11">
        <f t="shared" si="0"/>
        <v>0</v>
      </c>
    </row>
    <row r="31" spans="2:36" ht="15.75" thickBot="1">
      <c r="B31" s="341"/>
      <c r="C31" s="336"/>
      <c r="D31" s="271" t="s">
        <v>52</v>
      </c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11">
        <f t="shared" si="0"/>
        <v>0</v>
      </c>
    </row>
    <row r="32" spans="2:36" ht="15.75" thickBot="1">
      <c r="B32" s="341"/>
      <c r="C32" s="336"/>
      <c r="D32" s="16" t="s">
        <v>17</v>
      </c>
      <c r="E32" s="17">
        <f>SUM(E28:E31)</f>
        <v>0</v>
      </c>
      <c r="F32" s="17">
        <f t="shared" ref="F32:AJ32" si="4">SUM(F28:F31)</f>
        <v>0</v>
      </c>
      <c r="G32" s="17">
        <f t="shared" si="4"/>
        <v>0</v>
      </c>
      <c r="H32" s="17">
        <f t="shared" si="4"/>
        <v>0</v>
      </c>
      <c r="I32" s="17">
        <f t="shared" si="4"/>
        <v>0</v>
      </c>
      <c r="J32" s="17">
        <f t="shared" si="4"/>
        <v>0</v>
      </c>
      <c r="K32" s="17">
        <f>SUM(K28:K31)</f>
        <v>0</v>
      </c>
      <c r="L32" s="17">
        <f t="shared" si="4"/>
        <v>0</v>
      </c>
      <c r="M32" s="17">
        <f t="shared" si="4"/>
        <v>0</v>
      </c>
      <c r="N32" s="17">
        <f t="shared" si="4"/>
        <v>0</v>
      </c>
      <c r="O32" s="17">
        <f t="shared" si="4"/>
        <v>0</v>
      </c>
      <c r="P32" s="17">
        <f t="shared" si="4"/>
        <v>0</v>
      </c>
      <c r="Q32" s="17">
        <f t="shared" si="4"/>
        <v>0</v>
      </c>
      <c r="R32" s="17">
        <f t="shared" si="4"/>
        <v>0</v>
      </c>
      <c r="S32" s="17">
        <f t="shared" si="4"/>
        <v>0</v>
      </c>
      <c r="T32" s="17">
        <f t="shared" si="4"/>
        <v>0</v>
      </c>
      <c r="U32" s="17">
        <f t="shared" si="4"/>
        <v>0</v>
      </c>
      <c r="V32" s="17">
        <f t="shared" si="4"/>
        <v>0</v>
      </c>
      <c r="W32" s="17">
        <f t="shared" si="4"/>
        <v>0</v>
      </c>
      <c r="X32" s="17">
        <f t="shared" si="4"/>
        <v>0</v>
      </c>
      <c r="Y32" s="17">
        <f t="shared" si="4"/>
        <v>0</v>
      </c>
      <c r="Z32" s="17">
        <f t="shared" si="4"/>
        <v>0</v>
      </c>
      <c r="AA32" s="17">
        <f t="shared" si="4"/>
        <v>0</v>
      </c>
      <c r="AB32" s="17">
        <f t="shared" si="4"/>
        <v>0</v>
      </c>
      <c r="AC32" s="17">
        <f t="shared" si="4"/>
        <v>0</v>
      </c>
      <c r="AD32" s="17">
        <f t="shared" si="4"/>
        <v>0</v>
      </c>
      <c r="AE32" s="17">
        <f t="shared" si="4"/>
        <v>0</v>
      </c>
      <c r="AF32" s="17">
        <f t="shared" si="4"/>
        <v>0</v>
      </c>
      <c r="AG32" s="17">
        <f t="shared" si="4"/>
        <v>0</v>
      </c>
      <c r="AH32" s="17">
        <f t="shared" si="4"/>
        <v>0</v>
      </c>
      <c r="AI32" s="17">
        <f t="shared" si="4"/>
        <v>0</v>
      </c>
      <c r="AJ32" s="17">
        <f t="shared" si="4"/>
        <v>0</v>
      </c>
    </row>
    <row r="33" spans="2:36" ht="15.75" thickBot="1">
      <c r="B33" s="341"/>
      <c r="C33" s="336" t="s">
        <v>22</v>
      </c>
      <c r="D33" s="271" t="s">
        <v>34</v>
      </c>
      <c r="E33" s="269"/>
      <c r="F33" s="270"/>
      <c r="G33" s="270"/>
      <c r="H33" s="270"/>
      <c r="I33" s="270"/>
      <c r="J33" s="270"/>
      <c r="K33" s="270"/>
      <c r="L33" s="270"/>
      <c r="M33" s="270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11">
        <f t="shared" si="0"/>
        <v>0</v>
      </c>
    </row>
    <row r="34" spans="2:36" ht="15.75" thickBot="1">
      <c r="B34" s="341"/>
      <c r="C34" s="336"/>
      <c r="D34" s="271" t="s">
        <v>35</v>
      </c>
      <c r="E34" s="269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11">
        <f t="shared" si="0"/>
        <v>0</v>
      </c>
    </row>
    <row r="35" spans="2:36" ht="15.75" thickBot="1">
      <c r="B35" s="341"/>
      <c r="C35" s="336"/>
      <c r="D35" s="271" t="s">
        <v>52</v>
      </c>
      <c r="E35" s="269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11">
        <f t="shared" si="0"/>
        <v>0</v>
      </c>
    </row>
    <row r="36" spans="2:36" ht="15.75" thickBot="1">
      <c r="B36" s="341"/>
      <c r="C36" s="336"/>
      <c r="D36" s="16" t="s">
        <v>17</v>
      </c>
      <c r="E36" s="17">
        <f>SUM(E33:E35)</f>
        <v>0</v>
      </c>
      <c r="F36" s="17">
        <f t="shared" ref="F36:AI36" si="5">SUM(F33:F34)</f>
        <v>0</v>
      </c>
      <c r="G36" s="17">
        <f t="shared" si="5"/>
        <v>0</v>
      </c>
      <c r="H36" s="17">
        <f t="shared" si="5"/>
        <v>0</v>
      </c>
      <c r="I36" s="17">
        <f t="shared" si="5"/>
        <v>0</v>
      </c>
      <c r="J36" s="17">
        <f t="shared" si="5"/>
        <v>0</v>
      </c>
      <c r="K36" s="17">
        <f t="shared" si="5"/>
        <v>0</v>
      </c>
      <c r="L36" s="17">
        <f t="shared" si="5"/>
        <v>0</v>
      </c>
      <c r="M36" s="17">
        <f t="shared" si="5"/>
        <v>0</v>
      </c>
      <c r="N36" s="17">
        <f t="shared" si="5"/>
        <v>0</v>
      </c>
      <c r="O36" s="17">
        <f t="shared" si="5"/>
        <v>0</v>
      </c>
      <c r="P36" s="17">
        <f t="shared" si="5"/>
        <v>0</v>
      </c>
      <c r="Q36" s="17">
        <f t="shared" si="5"/>
        <v>0</v>
      </c>
      <c r="R36" s="17">
        <f t="shared" si="5"/>
        <v>0</v>
      </c>
      <c r="S36" s="17">
        <f t="shared" si="5"/>
        <v>0</v>
      </c>
      <c r="T36" s="17">
        <f t="shared" si="5"/>
        <v>0</v>
      </c>
      <c r="U36" s="17">
        <f t="shared" si="5"/>
        <v>0</v>
      </c>
      <c r="V36" s="17">
        <f t="shared" si="5"/>
        <v>0</v>
      </c>
      <c r="W36" s="17">
        <f t="shared" si="5"/>
        <v>0</v>
      </c>
      <c r="X36" s="17">
        <f t="shared" si="5"/>
        <v>0</v>
      </c>
      <c r="Y36" s="17">
        <f t="shared" si="5"/>
        <v>0</v>
      </c>
      <c r="Z36" s="17">
        <f t="shared" si="5"/>
        <v>0</v>
      </c>
      <c r="AA36" s="17">
        <f t="shared" si="5"/>
        <v>0</v>
      </c>
      <c r="AB36" s="17">
        <f t="shared" si="5"/>
        <v>0</v>
      </c>
      <c r="AC36" s="17">
        <f t="shared" si="5"/>
        <v>0</v>
      </c>
      <c r="AD36" s="17">
        <f t="shared" si="5"/>
        <v>0</v>
      </c>
      <c r="AE36" s="17">
        <f t="shared" si="5"/>
        <v>0</v>
      </c>
      <c r="AF36" s="17">
        <f t="shared" si="5"/>
        <v>0</v>
      </c>
      <c r="AG36" s="17">
        <f t="shared" si="5"/>
        <v>0</v>
      </c>
      <c r="AH36" s="17">
        <f t="shared" si="5"/>
        <v>0</v>
      </c>
      <c r="AI36" s="17">
        <f t="shared" si="5"/>
        <v>0</v>
      </c>
      <c r="AJ36" s="19">
        <f t="shared" si="0"/>
        <v>0</v>
      </c>
    </row>
    <row r="37" spans="2:36" ht="15.75" thickBot="1">
      <c r="B37" s="341"/>
      <c r="C37" s="336" t="s">
        <v>58</v>
      </c>
      <c r="D37" s="274" t="s">
        <v>91</v>
      </c>
      <c r="E37" s="269"/>
      <c r="F37" s="270"/>
      <c r="G37" s="270"/>
      <c r="H37" s="270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11">
        <f t="shared" si="0"/>
        <v>0</v>
      </c>
    </row>
    <row r="38" spans="2:36" ht="15.75" thickBot="1">
      <c r="B38" s="341"/>
      <c r="C38" s="336"/>
      <c r="D38" s="271" t="s">
        <v>60</v>
      </c>
      <c r="E38" s="269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  <c r="AC38" s="270"/>
      <c r="AD38" s="270"/>
      <c r="AE38" s="270"/>
      <c r="AF38" s="270"/>
      <c r="AG38" s="270"/>
      <c r="AH38" s="270"/>
      <c r="AI38" s="270"/>
      <c r="AJ38" s="11">
        <f t="shared" si="0"/>
        <v>0</v>
      </c>
    </row>
    <row r="39" spans="2:36" ht="15.75" thickBot="1">
      <c r="B39" s="341"/>
      <c r="C39" s="336"/>
      <c r="D39" s="271" t="s">
        <v>61</v>
      </c>
      <c r="E39" s="269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0"/>
      <c r="AH39" s="270"/>
      <c r="AI39" s="270"/>
      <c r="AJ39" s="11">
        <f t="shared" si="0"/>
        <v>0</v>
      </c>
    </row>
    <row r="40" spans="2:36" ht="15.75" thickBot="1">
      <c r="B40" s="341"/>
      <c r="C40" s="336"/>
      <c r="D40" s="271" t="s">
        <v>62</v>
      </c>
      <c r="E40" s="269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270"/>
      <c r="V40" s="270"/>
      <c r="W40" s="270"/>
      <c r="X40" s="270"/>
      <c r="Y40" s="270"/>
      <c r="Z40" s="270"/>
      <c r="AA40" s="270"/>
      <c r="AB40" s="270"/>
      <c r="AC40" s="270"/>
      <c r="AD40" s="270"/>
      <c r="AE40" s="270"/>
      <c r="AF40" s="270"/>
      <c r="AG40" s="270"/>
      <c r="AH40" s="270"/>
      <c r="AI40" s="270"/>
      <c r="AJ40" s="11">
        <f t="shared" si="0"/>
        <v>0</v>
      </c>
    </row>
    <row r="41" spans="2:36" ht="15.75" thickBot="1">
      <c r="B41" s="341"/>
      <c r="C41" s="336"/>
      <c r="D41" s="271" t="s">
        <v>81</v>
      </c>
      <c r="E41" s="269"/>
      <c r="F41" s="270"/>
      <c r="G41" s="270"/>
      <c r="H41" s="270"/>
      <c r="I41" s="270"/>
      <c r="J41" s="270"/>
      <c r="K41" s="270"/>
      <c r="L41" s="270"/>
      <c r="M41" s="270"/>
      <c r="N41" s="270"/>
      <c r="O41" s="270"/>
      <c r="P41" s="270"/>
      <c r="Q41" s="27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  <c r="AC41" s="270"/>
      <c r="AD41" s="270"/>
      <c r="AE41" s="270"/>
      <c r="AF41" s="270"/>
      <c r="AG41" s="270"/>
      <c r="AH41" s="270"/>
      <c r="AI41" s="270"/>
      <c r="AJ41" s="11">
        <f t="shared" si="0"/>
        <v>0</v>
      </c>
    </row>
    <row r="42" spans="2:36" ht="15.75" thickBot="1">
      <c r="B42" s="341"/>
      <c r="C42" s="336"/>
      <c r="D42" s="271" t="s">
        <v>110</v>
      </c>
      <c r="E42" s="269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11">
        <f t="shared" si="0"/>
        <v>0</v>
      </c>
    </row>
    <row r="43" spans="2:36" ht="15.75" thickBot="1">
      <c r="B43" s="341"/>
      <c r="C43" s="336"/>
      <c r="D43" s="271" t="s">
        <v>52</v>
      </c>
      <c r="E43" s="269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69"/>
      <c r="Q43" s="269"/>
      <c r="R43" s="269"/>
      <c r="S43" s="269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11">
        <f t="shared" si="0"/>
        <v>0</v>
      </c>
    </row>
    <row r="44" spans="2:36" ht="15.75" thickBot="1">
      <c r="B44" s="341"/>
      <c r="C44" s="336"/>
      <c r="D44" s="16" t="s">
        <v>17</v>
      </c>
      <c r="E44" s="17">
        <f>SUM(E37:E43)</f>
        <v>0</v>
      </c>
      <c r="F44" s="17">
        <f t="shared" ref="F44:AJ44" si="6">SUM(F37:F43)</f>
        <v>0</v>
      </c>
      <c r="G44" s="17">
        <f t="shared" si="6"/>
        <v>0</v>
      </c>
      <c r="H44" s="17">
        <f t="shared" si="6"/>
        <v>0</v>
      </c>
      <c r="I44" s="17">
        <f t="shared" si="6"/>
        <v>0</v>
      </c>
      <c r="J44" s="17">
        <f t="shared" si="6"/>
        <v>0</v>
      </c>
      <c r="K44" s="17">
        <f t="shared" si="6"/>
        <v>0</v>
      </c>
      <c r="L44" s="17">
        <f t="shared" si="6"/>
        <v>0</v>
      </c>
      <c r="M44" s="17">
        <f t="shared" si="6"/>
        <v>0</v>
      </c>
      <c r="N44" s="17">
        <f t="shared" si="6"/>
        <v>0</v>
      </c>
      <c r="O44" s="17">
        <f t="shared" si="6"/>
        <v>0</v>
      </c>
      <c r="P44" s="17">
        <f t="shared" si="6"/>
        <v>0</v>
      </c>
      <c r="Q44" s="17">
        <f t="shared" si="6"/>
        <v>0</v>
      </c>
      <c r="R44" s="17">
        <f t="shared" si="6"/>
        <v>0</v>
      </c>
      <c r="S44" s="17">
        <f t="shared" si="6"/>
        <v>0</v>
      </c>
      <c r="T44" s="17">
        <f t="shared" si="6"/>
        <v>0</v>
      </c>
      <c r="U44" s="17">
        <f t="shared" si="6"/>
        <v>0</v>
      </c>
      <c r="V44" s="17">
        <f t="shared" si="6"/>
        <v>0</v>
      </c>
      <c r="W44" s="17">
        <f t="shared" si="6"/>
        <v>0</v>
      </c>
      <c r="X44" s="17">
        <f t="shared" si="6"/>
        <v>0</v>
      </c>
      <c r="Y44" s="17">
        <f t="shared" si="6"/>
        <v>0</v>
      </c>
      <c r="Z44" s="17">
        <f t="shared" si="6"/>
        <v>0</v>
      </c>
      <c r="AA44" s="17">
        <f t="shared" si="6"/>
        <v>0</v>
      </c>
      <c r="AB44" s="17">
        <f t="shared" si="6"/>
        <v>0</v>
      </c>
      <c r="AC44" s="17">
        <f t="shared" si="6"/>
        <v>0</v>
      </c>
      <c r="AD44" s="17">
        <f t="shared" si="6"/>
        <v>0</v>
      </c>
      <c r="AE44" s="17">
        <f t="shared" si="6"/>
        <v>0</v>
      </c>
      <c r="AF44" s="17">
        <f t="shared" si="6"/>
        <v>0</v>
      </c>
      <c r="AG44" s="17">
        <f t="shared" si="6"/>
        <v>0</v>
      </c>
      <c r="AH44" s="17">
        <f t="shared" si="6"/>
        <v>0</v>
      </c>
      <c r="AI44" s="17">
        <f t="shared" si="6"/>
        <v>0</v>
      </c>
      <c r="AJ44" s="17">
        <f t="shared" si="6"/>
        <v>0</v>
      </c>
    </row>
    <row r="45" spans="2:36" ht="15.75" thickBot="1">
      <c r="B45" s="341"/>
      <c r="C45" s="336" t="s">
        <v>36</v>
      </c>
      <c r="D45" s="271" t="s">
        <v>63</v>
      </c>
      <c r="E45" s="269"/>
      <c r="F45" s="270"/>
      <c r="G45" s="270"/>
      <c r="H45" s="270"/>
      <c r="I45" s="270"/>
      <c r="J45" s="270"/>
      <c r="K45" s="270"/>
      <c r="L45" s="270"/>
      <c r="M45" s="270"/>
      <c r="N45" s="270"/>
      <c r="O45" s="270"/>
      <c r="P45" s="270"/>
      <c r="Q45" s="270"/>
      <c r="R45" s="270"/>
      <c r="S45" s="270"/>
      <c r="T45" s="270"/>
      <c r="U45" s="270"/>
      <c r="V45" s="270"/>
      <c r="W45" s="270"/>
      <c r="X45" s="270"/>
      <c r="Y45" s="270"/>
      <c r="Z45" s="270"/>
      <c r="AA45" s="270"/>
      <c r="AB45" s="270"/>
      <c r="AC45" s="270"/>
      <c r="AD45" s="270"/>
      <c r="AE45" s="270"/>
      <c r="AF45" s="270"/>
      <c r="AG45" s="270"/>
      <c r="AH45" s="270"/>
      <c r="AI45" s="270"/>
      <c r="AJ45" s="11">
        <f t="shared" si="0"/>
        <v>0</v>
      </c>
    </row>
    <row r="46" spans="2:36" ht="15.75" thickBot="1">
      <c r="B46" s="341"/>
      <c r="C46" s="336"/>
      <c r="D46" s="271" t="s">
        <v>64</v>
      </c>
      <c r="E46" s="269"/>
      <c r="F46" s="270"/>
      <c r="G46" s="270"/>
      <c r="H46" s="270"/>
      <c r="I46" s="270"/>
      <c r="J46" s="270"/>
      <c r="K46" s="270"/>
      <c r="L46" s="270"/>
      <c r="M46" s="270"/>
      <c r="N46" s="270"/>
      <c r="O46" s="270"/>
      <c r="P46" s="270"/>
      <c r="Q46" s="270"/>
      <c r="R46" s="270"/>
      <c r="S46" s="270"/>
      <c r="T46" s="270"/>
      <c r="U46" s="270"/>
      <c r="V46" s="270"/>
      <c r="W46" s="270"/>
      <c r="X46" s="270"/>
      <c r="Y46" s="270"/>
      <c r="Z46" s="270"/>
      <c r="AA46" s="270"/>
      <c r="AB46" s="270"/>
      <c r="AC46" s="270"/>
      <c r="AD46" s="270"/>
      <c r="AE46" s="270"/>
      <c r="AF46" s="270"/>
      <c r="AG46" s="270"/>
      <c r="AH46" s="270"/>
      <c r="AI46" s="270"/>
      <c r="AJ46" s="11">
        <f t="shared" si="0"/>
        <v>0</v>
      </c>
    </row>
    <row r="47" spans="2:36" ht="15.75" thickBot="1">
      <c r="B47" s="341"/>
      <c r="C47" s="336"/>
      <c r="D47" s="271" t="s">
        <v>52</v>
      </c>
      <c r="E47" s="269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69"/>
      <c r="S47" s="269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11">
        <f t="shared" si="0"/>
        <v>0</v>
      </c>
    </row>
    <row r="48" spans="2:36" ht="15.75" thickBot="1">
      <c r="B48" s="341"/>
      <c r="C48" s="336"/>
      <c r="D48" s="16" t="s">
        <v>17</v>
      </c>
      <c r="E48" s="17">
        <f>SUM(E45:E47)</f>
        <v>0</v>
      </c>
      <c r="F48" s="17">
        <f t="shared" ref="F48:AJ48" si="7">SUM(F45:F47)</f>
        <v>0</v>
      </c>
      <c r="G48" s="17">
        <f t="shared" si="7"/>
        <v>0</v>
      </c>
      <c r="H48" s="17">
        <f t="shared" si="7"/>
        <v>0</v>
      </c>
      <c r="I48" s="17">
        <f t="shared" si="7"/>
        <v>0</v>
      </c>
      <c r="J48" s="17">
        <f t="shared" si="7"/>
        <v>0</v>
      </c>
      <c r="K48" s="17">
        <f t="shared" si="7"/>
        <v>0</v>
      </c>
      <c r="L48" s="17">
        <f t="shared" si="7"/>
        <v>0</v>
      </c>
      <c r="M48" s="17">
        <f t="shared" si="7"/>
        <v>0</v>
      </c>
      <c r="N48" s="17">
        <f t="shared" si="7"/>
        <v>0</v>
      </c>
      <c r="O48" s="17">
        <f t="shared" si="7"/>
        <v>0</v>
      </c>
      <c r="P48" s="17">
        <f t="shared" si="7"/>
        <v>0</v>
      </c>
      <c r="Q48" s="17">
        <f t="shared" si="7"/>
        <v>0</v>
      </c>
      <c r="R48" s="17">
        <f t="shared" si="7"/>
        <v>0</v>
      </c>
      <c r="S48" s="17">
        <f t="shared" si="7"/>
        <v>0</v>
      </c>
      <c r="T48" s="17">
        <f t="shared" si="7"/>
        <v>0</v>
      </c>
      <c r="U48" s="17">
        <f t="shared" si="7"/>
        <v>0</v>
      </c>
      <c r="V48" s="17">
        <f t="shared" si="7"/>
        <v>0</v>
      </c>
      <c r="W48" s="17">
        <f t="shared" si="7"/>
        <v>0</v>
      </c>
      <c r="X48" s="17">
        <f t="shared" si="7"/>
        <v>0</v>
      </c>
      <c r="Y48" s="17">
        <f t="shared" si="7"/>
        <v>0</v>
      </c>
      <c r="Z48" s="17">
        <f t="shared" si="7"/>
        <v>0</v>
      </c>
      <c r="AA48" s="17">
        <f t="shared" si="7"/>
        <v>0</v>
      </c>
      <c r="AB48" s="17">
        <f t="shared" si="7"/>
        <v>0</v>
      </c>
      <c r="AC48" s="17">
        <f t="shared" si="7"/>
        <v>0</v>
      </c>
      <c r="AD48" s="17">
        <f t="shared" si="7"/>
        <v>0</v>
      </c>
      <c r="AE48" s="17">
        <f t="shared" si="7"/>
        <v>0</v>
      </c>
      <c r="AF48" s="17">
        <f t="shared" si="7"/>
        <v>0</v>
      </c>
      <c r="AG48" s="17">
        <f t="shared" si="7"/>
        <v>0</v>
      </c>
      <c r="AH48" s="17">
        <f t="shared" si="7"/>
        <v>0</v>
      </c>
      <c r="AI48" s="17">
        <f t="shared" si="7"/>
        <v>0</v>
      </c>
      <c r="AJ48" s="17">
        <f t="shared" si="7"/>
        <v>0</v>
      </c>
    </row>
    <row r="49" spans="2:36" ht="15.75" thickBot="1">
      <c r="B49" s="341"/>
      <c r="C49" s="336" t="s">
        <v>65</v>
      </c>
      <c r="D49" s="271" t="s">
        <v>66</v>
      </c>
      <c r="E49" s="269"/>
      <c r="F49" s="270"/>
      <c r="G49" s="270"/>
      <c r="H49" s="270"/>
      <c r="I49" s="270"/>
      <c r="J49" s="270"/>
      <c r="K49" s="270"/>
      <c r="L49" s="270"/>
      <c r="M49" s="270"/>
      <c r="N49" s="270"/>
      <c r="O49" s="270"/>
      <c r="P49" s="270"/>
      <c r="Q49" s="270"/>
      <c r="R49" s="270"/>
      <c r="S49" s="270"/>
      <c r="T49" s="270"/>
      <c r="U49" s="270"/>
      <c r="V49" s="270"/>
      <c r="W49" s="270"/>
      <c r="X49" s="270"/>
      <c r="Y49" s="270"/>
      <c r="Z49" s="270"/>
      <c r="AA49" s="270"/>
      <c r="AB49" s="270"/>
      <c r="AC49" s="270"/>
      <c r="AD49" s="270"/>
      <c r="AE49" s="270"/>
      <c r="AF49" s="270"/>
      <c r="AG49" s="270"/>
      <c r="AH49" s="270"/>
      <c r="AI49" s="270"/>
      <c r="AJ49" s="11">
        <f t="shared" si="0"/>
        <v>0</v>
      </c>
    </row>
    <row r="50" spans="2:36" ht="15.75" thickBot="1">
      <c r="B50" s="341"/>
      <c r="C50" s="336"/>
      <c r="D50" s="271" t="s">
        <v>67</v>
      </c>
      <c r="E50" s="269"/>
      <c r="F50" s="270"/>
      <c r="G50" s="270"/>
      <c r="H50" s="270"/>
      <c r="I50" s="270"/>
      <c r="J50" s="270"/>
      <c r="K50" s="270"/>
      <c r="L50" s="270"/>
      <c r="M50" s="270"/>
      <c r="N50" s="270"/>
      <c r="O50" s="270"/>
      <c r="P50" s="270"/>
      <c r="Q50" s="270"/>
      <c r="R50" s="270"/>
      <c r="S50" s="270"/>
      <c r="T50" s="270"/>
      <c r="U50" s="270"/>
      <c r="V50" s="270"/>
      <c r="W50" s="270"/>
      <c r="X50" s="270"/>
      <c r="Y50" s="270"/>
      <c r="Z50" s="270"/>
      <c r="AA50" s="270"/>
      <c r="AB50" s="270"/>
      <c r="AC50" s="270"/>
      <c r="AD50" s="270"/>
      <c r="AE50" s="270"/>
      <c r="AF50" s="270"/>
      <c r="AG50" s="270"/>
      <c r="AH50" s="270"/>
      <c r="AI50" s="270"/>
      <c r="AJ50" s="11">
        <f t="shared" si="0"/>
        <v>0</v>
      </c>
    </row>
    <row r="51" spans="2:36" ht="15.75" thickBot="1">
      <c r="B51" s="341"/>
      <c r="C51" s="336"/>
      <c r="D51" s="271" t="s">
        <v>52</v>
      </c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69"/>
      <c r="Q51" s="269"/>
      <c r="R51" s="269"/>
      <c r="S51" s="269"/>
      <c r="T51" s="269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11">
        <f t="shared" si="0"/>
        <v>0</v>
      </c>
    </row>
    <row r="52" spans="2:36" ht="15.75" thickBot="1">
      <c r="B52" s="341"/>
      <c r="C52" s="336"/>
      <c r="D52" s="16" t="s">
        <v>17</v>
      </c>
      <c r="E52" s="17">
        <f>SUM(E49:E51)</f>
        <v>0</v>
      </c>
      <c r="F52" s="17">
        <f t="shared" ref="F52:AJ52" si="8">SUM(F49:F51)</f>
        <v>0</v>
      </c>
      <c r="G52" s="17">
        <f t="shared" si="8"/>
        <v>0</v>
      </c>
      <c r="H52" s="17">
        <f t="shared" si="8"/>
        <v>0</v>
      </c>
      <c r="I52" s="17">
        <f t="shared" si="8"/>
        <v>0</v>
      </c>
      <c r="J52" s="17">
        <f t="shared" si="8"/>
        <v>0</v>
      </c>
      <c r="K52" s="17">
        <f t="shared" si="8"/>
        <v>0</v>
      </c>
      <c r="L52" s="17">
        <f t="shared" si="8"/>
        <v>0</v>
      </c>
      <c r="M52" s="17">
        <f t="shared" si="8"/>
        <v>0</v>
      </c>
      <c r="N52" s="17">
        <f t="shared" si="8"/>
        <v>0</v>
      </c>
      <c r="O52" s="17">
        <f t="shared" si="8"/>
        <v>0</v>
      </c>
      <c r="P52" s="17">
        <f t="shared" si="8"/>
        <v>0</v>
      </c>
      <c r="Q52" s="17">
        <f t="shared" si="8"/>
        <v>0</v>
      </c>
      <c r="R52" s="17">
        <f t="shared" si="8"/>
        <v>0</v>
      </c>
      <c r="S52" s="17">
        <f t="shared" si="8"/>
        <v>0</v>
      </c>
      <c r="T52" s="17">
        <f t="shared" si="8"/>
        <v>0</v>
      </c>
      <c r="U52" s="17">
        <f t="shared" si="8"/>
        <v>0</v>
      </c>
      <c r="V52" s="17">
        <f t="shared" si="8"/>
        <v>0</v>
      </c>
      <c r="W52" s="17">
        <f t="shared" si="8"/>
        <v>0</v>
      </c>
      <c r="X52" s="17">
        <f t="shared" si="8"/>
        <v>0</v>
      </c>
      <c r="Y52" s="17">
        <f t="shared" si="8"/>
        <v>0</v>
      </c>
      <c r="Z52" s="17">
        <f t="shared" si="8"/>
        <v>0</v>
      </c>
      <c r="AA52" s="17">
        <f t="shared" si="8"/>
        <v>0</v>
      </c>
      <c r="AB52" s="17">
        <f t="shared" si="8"/>
        <v>0</v>
      </c>
      <c r="AC52" s="17">
        <f t="shared" si="8"/>
        <v>0</v>
      </c>
      <c r="AD52" s="17">
        <f t="shared" si="8"/>
        <v>0</v>
      </c>
      <c r="AE52" s="17">
        <f t="shared" si="8"/>
        <v>0</v>
      </c>
      <c r="AF52" s="17">
        <f t="shared" si="8"/>
        <v>0</v>
      </c>
      <c r="AG52" s="17">
        <f t="shared" si="8"/>
        <v>0</v>
      </c>
      <c r="AH52" s="17">
        <f t="shared" si="8"/>
        <v>0</v>
      </c>
      <c r="AI52" s="17">
        <f t="shared" si="8"/>
        <v>0</v>
      </c>
      <c r="AJ52" s="17">
        <f t="shared" si="8"/>
        <v>0</v>
      </c>
    </row>
    <row r="53" spans="2:36" ht="15.75" thickBot="1">
      <c r="B53" s="341"/>
      <c r="C53" s="336" t="s">
        <v>68</v>
      </c>
      <c r="D53" s="271" t="s">
        <v>69</v>
      </c>
      <c r="E53" s="269"/>
      <c r="F53" s="270"/>
      <c r="G53" s="270"/>
      <c r="H53" s="270"/>
      <c r="I53" s="270"/>
      <c r="J53" s="270"/>
      <c r="K53" s="270"/>
      <c r="L53" s="270"/>
      <c r="M53" s="270"/>
      <c r="N53" s="270"/>
      <c r="O53" s="270"/>
      <c r="P53" s="270"/>
      <c r="Q53" s="270"/>
      <c r="R53" s="270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  <c r="AC53" s="270"/>
      <c r="AD53" s="270"/>
      <c r="AE53" s="270"/>
      <c r="AF53" s="270"/>
      <c r="AG53" s="270"/>
      <c r="AH53" s="270"/>
      <c r="AI53" s="270"/>
      <c r="AJ53" s="11">
        <f t="shared" si="0"/>
        <v>0</v>
      </c>
    </row>
    <row r="54" spans="2:36" ht="15.75" thickBot="1">
      <c r="B54" s="341"/>
      <c r="C54" s="336"/>
      <c r="D54" s="271" t="s">
        <v>70</v>
      </c>
      <c r="E54" s="269"/>
      <c r="F54" s="270"/>
      <c r="G54" s="270"/>
      <c r="H54" s="270"/>
      <c r="I54" s="270"/>
      <c r="J54" s="270"/>
      <c r="K54" s="270"/>
      <c r="L54" s="270"/>
      <c r="M54" s="270"/>
      <c r="N54" s="270"/>
      <c r="O54" s="270"/>
      <c r="P54" s="270"/>
      <c r="Q54" s="270"/>
      <c r="R54" s="270"/>
      <c r="S54" s="270"/>
      <c r="T54" s="270"/>
      <c r="U54" s="270"/>
      <c r="V54" s="270"/>
      <c r="W54" s="270"/>
      <c r="X54" s="270"/>
      <c r="Y54" s="270"/>
      <c r="Z54" s="270"/>
      <c r="AA54" s="270"/>
      <c r="AB54" s="270"/>
      <c r="AC54" s="270"/>
      <c r="AD54" s="270"/>
      <c r="AE54" s="270"/>
      <c r="AF54" s="270"/>
      <c r="AG54" s="270"/>
      <c r="AH54" s="270"/>
      <c r="AI54" s="270"/>
      <c r="AJ54" s="11">
        <f t="shared" si="0"/>
        <v>0</v>
      </c>
    </row>
    <row r="55" spans="2:36" ht="15.75" thickBot="1">
      <c r="B55" s="341"/>
      <c r="C55" s="336"/>
      <c r="D55" s="271" t="s">
        <v>71</v>
      </c>
      <c r="E55" s="269"/>
      <c r="F55" s="270"/>
      <c r="G55" s="270"/>
      <c r="H55" s="270"/>
      <c r="I55" s="270"/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T55" s="270"/>
      <c r="U55" s="270"/>
      <c r="V55" s="270"/>
      <c r="W55" s="270"/>
      <c r="X55" s="270"/>
      <c r="Y55" s="270"/>
      <c r="Z55" s="270"/>
      <c r="AA55" s="270"/>
      <c r="AB55" s="270"/>
      <c r="AC55" s="270"/>
      <c r="AD55" s="270"/>
      <c r="AE55" s="270"/>
      <c r="AF55" s="270"/>
      <c r="AG55" s="270"/>
      <c r="AH55" s="270"/>
      <c r="AI55" s="270"/>
      <c r="AJ55" s="11">
        <f t="shared" si="0"/>
        <v>0</v>
      </c>
    </row>
    <row r="56" spans="2:36" ht="15.75" thickBot="1">
      <c r="B56" s="341"/>
      <c r="C56" s="336"/>
      <c r="D56" s="271" t="s">
        <v>52</v>
      </c>
      <c r="E56" s="269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269"/>
      <c r="Q56" s="269"/>
      <c r="R56" s="269"/>
      <c r="S56" s="269"/>
      <c r="T56" s="269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11">
        <f t="shared" si="0"/>
        <v>0</v>
      </c>
    </row>
    <row r="57" spans="2:36" ht="15.75" thickBot="1">
      <c r="B57" s="341"/>
      <c r="C57" s="336"/>
      <c r="D57" s="16" t="s">
        <v>17</v>
      </c>
      <c r="E57" s="17">
        <f>SUM(E53:E56)</f>
        <v>0</v>
      </c>
      <c r="F57" s="17">
        <f t="shared" ref="F57:AJ57" si="9">SUM(F53:F56)</f>
        <v>0</v>
      </c>
      <c r="G57" s="17">
        <f t="shared" si="9"/>
        <v>0</v>
      </c>
      <c r="H57" s="17">
        <f t="shared" si="9"/>
        <v>0</v>
      </c>
      <c r="I57" s="17">
        <f t="shared" si="9"/>
        <v>0</v>
      </c>
      <c r="J57" s="17">
        <f t="shared" si="9"/>
        <v>0</v>
      </c>
      <c r="K57" s="17">
        <f t="shared" si="9"/>
        <v>0</v>
      </c>
      <c r="L57" s="17">
        <f t="shared" si="9"/>
        <v>0</v>
      </c>
      <c r="M57" s="17">
        <f t="shared" si="9"/>
        <v>0</v>
      </c>
      <c r="N57" s="17">
        <f t="shared" si="9"/>
        <v>0</v>
      </c>
      <c r="O57" s="17">
        <f t="shared" si="9"/>
        <v>0</v>
      </c>
      <c r="P57" s="17">
        <f t="shared" si="9"/>
        <v>0</v>
      </c>
      <c r="Q57" s="17">
        <f t="shared" si="9"/>
        <v>0</v>
      </c>
      <c r="R57" s="17">
        <f t="shared" si="9"/>
        <v>0</v>
      </c>
      <c r="S57" s="17">
        <f t="shared" si="9"/>
        <v>0</v>
      </c>
      <c r="T57" s="17">
        <f t="shared" si="9"/>
        <v>0</v>
      </c>
      <c r="U57" s="17">
        <f t="shared" si="9"/>
        <v>0</v>
      </c>
      <c r="V57" s="17">
        <f t="shared" si="9"/>
        <v>0</v>
      </c>
      <c r="W57" s="17">
        <f t="shared" si="9"/>
        <v>0</v>
      </c>
      <c r="X57" s="17">
        <f t="shared" si="9"/>
        <v>0</v>
      </c>
      <c r="Y57" s="17">
        <f t="shared" si="9"/>
        <v>0</v>
      </c>
      <c r="Z57" s="17">
        <f t="shared" si="9"/>
        <v>0</v>
      </c>
      <c r="AA57" s="17">
        <f t="shared" si="9"/>
        <v>0</v>
      </c>
      <c r="AB57" s="17">
        <f t="shared" si="9"/>
        <v>0</v>
      </c>
      <c r="AC57" s="17">
        <f t="shared" si="9"/>
        <v>0</v>
      </c>
      <c r="AD57" s="17">
        <f t="shared" si="9"/>
        <v>0</v>
      </c>
      <c r="AE57" s="17">
        <f t="shared" si="9"/>
        <v>0</v>
      </c>
      <c r="AF57" s="17">
        <f t="shared" si="9"/>
        <v>0</v>
      </c>
      <c r="AG57" s="17">
        <f t="shared" si="9"/>
        <v>0</v>
      </c>
      <c r="AH57" s="17">
        <f t="shared" si="9"/>
        <v>0</v>
      </c>
      <c r="AI57" s="17">
        <f t="shared" si="9"/>
        <v>0</v>
      </c>
      <c r="AJ57" s="17">
        <f t="shared" si="9"/>
        <v>0</v>
      </c>
    </row>
    <row r="58" spans="2:36" ht="15.75" thickBot="1">
      <c r="B58" s="341"/>
      <c r="C58" s="336" t="s">
        <v>107</v>
      </c>
      <c r="D58" s="275" t="s">
        <v>88</v>
      </c>
      <c r="E58" s="269"/>
      <c r="F58" s="270"/>
      <c r="G58" s="270"/>
      <c r="H58" s="270"/>
      <c r="I58" s="270"/>
      <c r="J58" s="270"/>
      <c r="K58" s="270"/>
      <c r="L58" s="270"/>
      <c r="M58" s="270"/>
      <c r="N58" s="270"/>
      <c r="O58" s="270"/>
      <c r="P58" s="270"/>
      <c r="Q58" s="270"/>
      <c r="R58" s="270"/>
      <c r="S58" s="270"/>
      <c r="T58" s="270"/>
      <c r="U58" s="270"/>
      <c r="V58" s="270"/>
      <c r="W58" s="270"/>
      <c r="X58" s="270"/>
      <c r="Y58" s="270"/>
      <c r="Z58" s="270"/>
      <c r="AA58" s="270"/>
      <c r="AB58" s="270"/>
      <c r="AC58" s="270"/>
      <c r="AD58" s="270"/>
      <c r="AE58" s="270"/>
      <c r="AF58" s="270"/>
      <c r="AG58" s="270"/>
      <c r="AH58" s="270"/>
      <c r="AI58" s="270"/>
      <c r="AJ58" s="11">
        <f t="shared" si="0"/>
        <v>0</v>
      </c>
    </row>
    <row r="59" spans="2:36" ht="15.75" thickBot="1">
      <c r="B59" s="341"/>
      <c r="C59" s="336"/>
      <c r="D59" s="275" t="s">
        <v>89</v>
      </c>
      <c r="E59" s="269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  <c r="AC59" s="270"/>
      <c r="AD59" s="270"/>
      <c r="AE59" s="270"/>
      <c r="AF59" s="270"/>
      <c r="AG59" s="270"/>
      <c r="AH59" s="270"/>
      <c r="AI59" s="270"/>
      <c r="AJ59" s="11">
        <f t="shared" si="0"/>
        <v>0</v>
      </c>
    </row>
    <row r="60" spans="2:36" ht="15.75" thickBot="1">
      <c r="B60" s="341"/>
      <c r="C60" s="336"/>
      <c r="D60" s="275" t="s">
        <v>52</v>
      </c>
      <c r="E60" s="269"/>
      <c r="F60" s="269"/>
      <c r="G60" s="269"/>
      <c r="H60" s="269"/>
      <c r="I60" s="269"/>
      <c r="J60" s="269"/>
      <c r="K60" s="269"/>
      <c r="L60" s="269"/>
      <c r="M60" s="269"/>
      <c r="N60" s="269"/>
      <c r="O60" s="269"/>
      <c r="P60" s="269"/>
      <c r="Q60" s="269"/>
      <c r="R60" s="269"/>
      <c r="S60" s="269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11">
        <f t="shared" si="0"/>
        <v>0</v>
      </c>
    </row>
    <row r="61" spans="2:36" ht="15.75" thickBot="1">
      <c r="B61" s="341"/>
      <c r="C61" s="336"/>
      <c r="D61" s="18" t="s">
        <v>17</v>
      </c>
      <c r="E61" s="17">
        <f>SUM(E58:E60)</f>
        <v>0</v>
      </c>
      <c r="F61" s="17">
        <f t="shared" ref="F61:AJ61" si="10">SUM(F58:F60)</f>
        <v>0</v>
      </c>
      <c r="G61" s="17">
        <f>SUM(G58:G60)</f>
        <v>0</v>
      </c>
      <c r="H61" s="17">
        <f t="shared" si="10"/>
        <v>0</v>
      </c>
      <c r="I61" s="17">
        <f t="shared" si="10"/>
        <v>0</v>
      </c>
      <c r="J61" s="17">
        <f t="shared" si="10"/>
        <v>0</v>
      </c>
      <c r="K61" s="17">
        <f t="shared" si="10"/>
        <v>0</v>
      </c>
      <c r="L61" s="17">
        <f t="shared" si="10"/>
        <v>0</v>
      </c>
      <c r="M61" s="17">
        <f t="shared" si="10"/>
        <v>0</v>
      </c>
      <c r="N61" s="17">
        <f t="shared" si="10"/>
        <v>0</v>
      </c>
      <c r="O61" s="17">
        <f t="shared" si="10"/>
        <v>0</v>
      </c>
      <c r="P61" s="17">
        <f t="shared" si="10"/>
        <v>0</v>
      </c>
      <c r="Q61" s="17">
        <f t="shared" si="10"/>
        <v>0</v>
      </c>
      <c r="R61" s="17">
        <f t="shared" si="10"/>
        <v>0</v>
      </c>
      <c r="S61" s="17">
        <f t="shared" si="10"/>
        <v>0</v>
      </c>
      <c r="T61" s="17">
        <f t="shared" si="10"/>
        <v>0</v>
      </c>
      <c r="U61" s="17">
        <f t="shared" si="10"/>
        <v>0</v>
      </c>
      <c r="V61" s="17">
        <f t="shared" si="10"/>
        <v>0</v>
      </c>
      <c r="W61" s="17">
        <f t="shared" si="10"/>
        <v>0</v>
      </c>
      <c r="X61" s="17">
        <f t="shared" si="10"/>
        <v>0</v>
      </c>
      <c r="Y61" s="17">
        <f t="shared" si="10"/>
        <v>0</v>
      </c>
      <c r="Z61" s="17">
        <f t="shared" si="10"/>
        <v>0</v>
      </c>
      <c r="AA61" s="17">
        <f t="shared" si="10"/>
        <v>0</v>
      </c>
      <c r="AB61" s="17">
        <f t="shared" si="10"/>
        <v>0</v>
      </c>
      <c r="AC61" s="17">
        <f t="shared" si="10"/>
        <v>0</v>
      </c>
      <c r="AD61" s="17">
        <f t="shared" si="10"/>
        <v>0</v>
      </c>
      <c r="AE61" s="17">
        <f t="shared" si="10"/>
        <v>0</v>
      </c>
      <c r="AF61" s="17">
        <f t="shared" si="10"/>
        <v>0</v>
      </c>
      <c r="AG61" s="17">
        <f t="shared" si="10"/>
        <v>0</v>
      </c>
      <c r="AH61" s="17">
        <f t="shared" si="10"/>
        <v>0</v>
      </c>
      <c r="AI61" s="17">
        <f t="shared" si="10"/>
        <v>0</v>
      </c>
      <c r="AJ61" s="17">
        <f t="shared" si="10"/>
        <v>0</v>
      </c>
    </row>
    <row r="62" spans="2:36" ht="15.75" thickBot="1">
      <c r="B62" s="341"/>
      <c r="C62" s="336" t="s">
        <v>72</v>
      </c>
      <c r="D62" s="275" t="s">
        <v>73</v>
      </c>
      <c r="E62" s="269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0"/>
      <c r="T62" s="270"/>
      <c r="U62" s="270"/>
      <c r="V62" s="270"/>
      <c r="W62" s="270"/>
      <c r="X62" s="270"/>
      <c r="Y62" s="270"/>
      <c r="Z62" s="270"/>
      <c r="AA62" s="270"/>
      <c r="AB62" s="270"/>
      <c r="AC62" s="270"/>
      <c r="AD62" s="270"/>
      <c r="AE62" s="270"/>
      <c r="AF62" s="270"/>
      <c r="AG62" s="270"/>
      <c r="AH62" s="270"/>
      <c r="AI62" s="270"/>
      <c r="AJ62" s="11">
        <f t="shared" si="0"/>
        <v>0</v>
      </c>
    </row>
    <row r="63" spans="2:36" ht="15.75" thickBot="1">
      <c r="B63" s="341"/>
      <c r="C63" s="336"/>
      <c r="D63" s="269" t="s">
        <v>56</v>
      </c>
      <c r="E63" s="270"/>
      <c r="F63" s="270"/>
      <c r="G63" s="270"/>
      <c r="H63" s="270"/>
      <c r="I63" s="270"/>
      <c r="J63" s="270"/>
      <c r="K63" s="270"/>
      <c r="L63" s="270"/>
      <c r="M63" s="270"/>
      <c r="N63" s="270"/>
      <c r="O63" s="270"/>
      <c r="P63" s="270"/>
      <c r="Q63" s="270"/>
      <c r="R63" s="270"/>
      <c r="S63" s="270"/>
      <c r="T63" s="270"/>
      <c r="U63" s="270"/>
      <c r="V63" s="270"/>
      <c r="W63" s="270"/>
      <c r="X63" s="270"/>
      <c r="Y63" s="270"/>
      <c r="Z63" s="270"/>
      <c r="AA63" s="270"/>
      <c r="AB63" s="270"/>
      <c r="AC63" s="270"/>
      <c r="AD63" s="270"/>
      <c r="AE63" s="270"/>
      <c r="AF63" s="270"/>
      <c r="AG63" s="270"/>
      <c r="AH63" s="270"/>
      <c r="AI63" s="270"/>
      <c r="AJ63" s="11">
        <f t="shared" si="0"/>
        <v>0</v>
      </c>
    </row>
    <row r="64" spans="2:36" ht="15.75" thickBot="1">
      <c r="B64" s="341"/>
      <c r="C64" s="336"/>
      <c r="D64" s="269" t="s">
        <v>52</v>
      </c>
      <c r="E64" s="270"/>
      <c r="F64" s="270"/>
      <c r="G64" s="270"/>
      <c r="H64" s="270"/>
      <c r="I64" s="270"/>
      <c r="J64" s="270"/>
      <c r="K64" s="270"/>
      <c r="L64" s="270"/>
      <c r="M64" s="270"/>
      <c r="N64" s="270"/>
      <c r="O64" s="270"/>
      <c r="P64" s="270"/>
      <c r="Q64" s="270"/>
      <c r="R64" s="270"/>
      <c r="S64" s="270"/>
      <c r="T64" s="270"/>
      <c r="U64" s="270"/>
      <c r="V64" s="270"/>
      <c r="W64" s="270"/>
      <c r="X64" s="270"/>
      <c r="Y64" s="270"/>
      <c r="Z64" s="270"/>
      <c r="AA64" s="270"/>
      <c r="AB64" s="270"/>
      <c r="AC64" s="270"/>
      <c r="AD64" s="270"/>
      <c r="AE64" s="270"/>
      <c r="AF64" s="270"/>
      <c r="AG64" s="270"/>
      <c r="AH64" s="270"/>
      <c r="AI64" s="270"/>
      <c r="AJ64" s="11">
        <f t="shared" si="0"/>
        <v>0</v>
      </c>
    </row>
    <row r="65" spans="2:36" ht="15.75" thickBot="1">
      <c r="B65" s="341"/>
      <c r="C65" s="336"/>
      <c r="D65" s="17" t="s">
        <v>17</v>
      </c>
      <c r="E65" s="19">
        <f>SUM(E62:E64)</f>
        <v>0</v>
      </c>
      <c r="F65" s="19">
        <f t="shared" ref="F65:AJ65" si="11">SUM(F62:F64)</f>
        <v>0</v>
      </c>
      <c r="G65" s="19">
        <f>SUM(G62:G64)</f>
        <v>0</v>
      </c>
      <c r="H65" s="19">
        <f t="shared" si="11"/>
        <v>0</v>
      </c>
      <c r="I65" s="19">
        <f t="shared" si="11"/>
        <v>0</v>
      </c>
      <c r="J65" s="19">
        <f t="shared" si="11"/>
        <v>0</v>
      </c>
      <c r="K65" s="19">
        <f t="shared" si="11"/>
        <v>0</v>
      </c>
      <c r="L65" s="19">
        <f t="shared" si="11"/>
        <v>0</v>
      </c>
      <c r="M65" s="19">
        <f t="shared" si="11"/>
        <v>0</v>
      </c>
      <c r="N65" s="19">
        <f t="shared" si="11"/>
        <v>0</v>
      </c>
      <c r="O65" s="19">
        <f t="shared" si="11"/>
        <v>0</v>
      </c>
      <c r="P65" s="19">
        <f t="shared" si="11"/>
        <v>0</v>
      </c>
      <c r="Q65" s="19">
        <f t="shared" si="11"/>
        <v>0</v>
      </c>
      <c r="R65" s="19">
        <f t="shared" si="11"/>
        <v>0</v>
      </c>
      <c r="S65" s="19">
        <f t="shared" si="11"/>
        <v>0</v>
      </c>
      <c r="T65" s="19">
        <f t="shared" si="11"/>
        <v>0</v>
      </c>
      <c r="U65" s="19">
        <f t="shared" si="11"/>
        <v>0</v>
      </c>
      <c r="V65" s="19">
        <f t="shared" si="11"/>
        <v>0</v>
      </c>
      <c r="W65" s="19">
        <f t="shared" si="11"/>
        <v>0</v>
      </c>
      <c r="X65" s="19">
        <f t="shared" si="11"/>
        <v>0</v>
      </c>
      <c r="Y65" s="19">
        <f t="shared" si="11"/>
        <v>0</v>
      </c>
      <c r="Z65" s="19">
        <f t="shared" si="11"/>
        <v>0</v>
      </c>
      <c r="AA65" s="19">
        <f t="shared" si="11"/>
        <v>0</v>
      </c>
      <c r="AB65" s="19">
        <f t="shared" si="11"/>
        <v>0</v>
      </c>
      <c r="AC65" s="19">
        <f t="shared" si="11"/>
        <v>0</v>
      </c>
      <c r="AD65" s="19">
        <f t="shared" si="11"/>
        <v>0</v>
      </c>
      <c r="AE65" s="19">
        <f t="shared" si="11"/>
        <v>0</v>
      </c>
      <c r="AF65" s="19">
        <f t="shared" si="11"/>
        <v>0</v>
      </c>
      <c r="AG65" s="19">
        <f t="shared" si="11"/>
        <v>0</v>
      </c>
      <c r="AH65" s="19">
        <f t="shared" si="11"/>
        <v>0</v>
      </c>
      <c r="AI65" s="19">
        <f t="shared" si="11"/>
        <v>0</v>
      </c>
      <c r="AJ65" s="19">
        <f t="shared" si="11"/>
        <v>0</v>
      </c>
    </row>
    <row r="66" spans="2:36">
      <c r="B66" s="5"/>
      <c r="C66" s="5"/>
      <c r="D66" s="14" t="s">
        <v>104</v>
      </c>
      <c r="E66" s="14">
        <f t="shared" ref="E66:AI66" si="12">SUM(E13,E23,E27,E32,E36,E44,E48,E52,E57,E61,E65)</f>
        <v>0</v>
      </c>
      <c r="F66" s="14">
        <f t="shared" si="12"/>
        <v>0</v>
      </c>
      <c r="G66" s="14">
        <f t="shared" si="12"/>
        <v>0</v>
      </c>
      <c r="H66" s="14">
        <f t="shared" si="12"/>
        <v>0</v>
      </c>
      <c r="I66" s="14">
        <f t="shared" si="12"/>
        <v>0</v>
      </c>
      <c r="J66" s="14">
        <f t="shared" si="12"/>
        <v>0</v>
      </c>
      <c r="K66" s="14">
        <f t="shared" si="12"/>
        <v>0</v>
      </c>
      <c r="L66" s="14">
        <f t="shared" si="12"/>
        <v>0</v>
      </c>
      <c r="M66" s="14">
        <f t="shared" si="12"/>
        <v>0</v>
      </c>
      <c r="N66" s="14">
        <f t="shared" si="12"/>
        <v>0</v>
      </c>
      <c r="O66" s="14">
        <f t="shared" si="12"/>
        <v>0</v>
      </c>
      <c r="P66" s="14">
        <f t="shared" si="12"/>
        <v>0</v>
      </c>
      <c r="Q66" s="14">
        <f t="shared" si="12"/>
        <v>0</v>
      </c>
      <c r="R66" s="14">
        <f t="shared" si="12"/>
        <v>0</v>
      </c>
      <c r="S66" s="14">
        <f t="shared" si="12"/>
        <v>0</v>
      </c>
      <c r="T66" s="14">
        <f t="shared" si="12"/>
        <v>0</v>
      </c>
      <c r="U66" s="14">
        <f t="shared" si="12"/>
        <v>0</v>
      </c>
      <c r="V66" s="14">
        <f t="shared" si="12"/>
        <v>0</v>
      </c>
      <c r="W66" s="14">
        <f t="shared" si="12"/>
        <v>0</v>
      </c>
      <c r="X66" s="14">
        <f t="shared" si="12"/>
        <v>0</v>
      </c>
      <c r="Y66" s="14">
        <f t="shared" si="12"/>
        <v>0</v>
      </c>
      <c r="Z66" s="14">
        <f t="shared" si="12"/>
        <v>0</v>
      </c>
      <c r="AA66" s="14">
        <f t="shared" si="12"/>
        <v>0</v>
      </c>
      <c r="AB66" s="14">
        <f t="shared" si="12"/>
        <v>0</v>
      </c>
      <c r="AC66" s="14">
        <f t="shared" si="12"/>
        <v>0</v>
      </c>
      <c r="AD66" s="14">
        <f t="shared" si="12"/>
        <v>0</v>
      </c>
      <c r="AE66" s="14">
        <f t="shared" si="12"/>
        <v>0</v>
      </c>
      <c r="AF66" s="14">
        <f t="shared" si="12"/>
        <v>0</v>
      </c>
      <c r="AG66" s="14">
        <f t="shared" si="12"/>
        <v>0</v>
      </c>
      <c r="AH66" s="14">
        <f t="shared" si="12"/>
        <v>0</v>
      </c>
      <c r="AI66" s="14">
        <f t="shared" si="12"/>
        <v>0</v>
      </c>
      <c r="AJ66" s="27">
        <f t="shared" si="0"/>
        <v>0</v>
      </c>
    </row>
  </sheetData>
  <mergeCells count="13">
    <mergeCell ref="B2:AJ2"/>
    <mergeCell ref="B5:B65"/>
    <mergeCell ref="C37:C44"/>
    <mergeCell ref="C45:C48"/>
    <mergeCell ref="C49:C52"/>
    <mergeCell ref="C53:C57"/>
    <mergeCell ref="C58:C61"/>
    <mergeCell ref="C62:C65"/>
    <mergeCell ref="C5:C13"/>
    <mergeCell ref="C14:C23"/>
    <mergeCell ref="C24:C27"/>
    <mergeCell ref="C28:C32"/>
    <mergeCell ref="C33:C36"/>
  </mergeCells>
  <conditionalFormatting sqref="E28:AI31 E33:AI35 E37:AI43 E45:AI47 E49:AI51 E53:AI56 E58:AI60 E62:AI64">
    <cfRule type="notContainsBlanks" dxfId="20" priority="4">
      <formula>LEN(TRIM(E28))&gt;0</formula>
    </cfRule>
  </conditionalFormatting>
  <conditionalFormatting sqref="D5:D12 D14:D22 D24:D26 D28:D31 D33:D35 D37:D43 D45:D47 D49:D51 D53:D56 D58:D60 D62:D64">
    <cfRule type="notContainsBlanks" dxfId="19" priority="2">
      <formula>LEN(TRIM(D5))&gt;0</formula>
    </cfRule>
  </conditionalFormatting>
  <conditionalFormatting sqref="E5:AI12 E14:AI22 E24:AI26">
    <cfRule type="notContainsBlanks" dxfId="18" priority="1">
      <formula>LEN(TRIM(E5))&gt;0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2"/>
  <dimension ref="B1:AJ66"/>
  <sheetViews>
    <sheetView showGridLines="0" showRowColHeaders="0"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2" max="2" width="18.5703125" customWidth="1"/>
    <col min="3" max="3" width="18.28515625" bestFit="1" customWidth="1"/>
    <col min="4" max="4" width="19.7109375" bestFit="1" customWidth="1"/>
    <col min="5" max="35" width="12.5703125" bestFit="1" customWidth="1"/>
    <col min="36" max="36" width="13.5703125" bestFit="1" customWidth="1"/>
  </cols>
  <sheetData>
    <row r="1" spans="2:36" ht="15.75" thickBot="1"/>
    <row r="2" spans="2:36" ht="33.75" customHeight="1" thickBot="1">
      <c r="B2" s="337" t="s">
        <v>6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</row>
    <row r="4" spans="2:36" ht="15.75" thickBot="1">
      <c r="B4" s="4"/>
      <c r="C4" s="5"/>
      <c r="D4" s="12" t="s">
        <v>57</v>
      </c>
      <c r="E4" s="13">
        <v>1</v>
      </c>
      <c r="F4" s="13">
        <v>2</v>
      </c>
      <c r="G4" s="13">
        <v>3</v>
      </c>
      <c r="H4" s="13">
        <v>4</v>
      </c>
      <c r="I4" s="13">
        <v>5</v>
      </c>
      <c r="J4" s="13">
        <v>6</v>
      </c>
      <c r="K4" s="13">
        <v>7</v>
      </c>
      <c r="L4" s="13">
        <v>8</v>
      </c>
      <c r="M4" s="13">
        <v>9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17</v>
      </c>
      <c r="V4" s="13">
        <v>18</v>
      </c>
      <c r="W4" s="13">
        <v>19</v>
      </c>
      <c r="X4" s="13">
        <v>20</v>
      </c>
      <c r="Y4" s="13">
        <v>21</v>
      </c>
      <c r="Z4" s="13">
        <v>22</v>
      </c>
      <c r="AA4" s="13">
        <v>23</v>
      </c>
      <c r="AB4" s="13">
        <v>24</v>
      </c>
      <c r="AC4" s="13">
        <v>25</v>
      </c>
      <c r="AD4" s="13">
        <v>26</v>
      </c>
      <c r="AE4" s="13">
        <v>27</v>
      </c>
      <c r="AF4" s="13">
        <v>28</v>
      </c>
      <c r="AG4" s="13">
        <v>29</v>
      </c>
      <c r="AH4" s="13">
        <v>30</v>
      </c>
      <c r="AI4" s="13">
        <v>31</v>
      </c>
      <c r="AJ4" s="27" t="s">
        <v>103</v>
      </c>
    </row>
    <row r="5" spans="2:36" ht="15.75" thickBot="1">
      <c r="B5" s="338" t="s">
        <v>127</v>
      </c>
      <c r="C5" s="336" t="s">
        <v>25</v>
      </c>
      <c r="D5" s="268" t="s">
        <v>30</v>
      </c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11">
        <f>SUM(E5:AI5)</f>
        <v>0</v>
      </c>
    </row>
    <row r="6" spans="2:36" ht="15.75" thickBot="1">
      <c r="B6" s="338"/>
      <c r="C6" s="336"/>
      <c r="D6" s="271" t="s">
        <v>26</v>
      </c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11">
        <f t="shared" ref="AJ6:AJ66" si="0">SUM(E6:AI6)</f>
        <v>0</v>
      </c>
    </row>
    <row r="7" spans="2:36" ht="15.75" thickBot="1">
      <c r="B7" s="338"/>
      <c r="C7" s="336"/>
      <c r="D7" s="271" t="s">
        <v>29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11">
        <f t="shared" si="0"/>
        <v>0</v>
      </c>
    </row>
    <row r="8" spans="2:36" ht="15.75" thickBot="1">
      <c r="B8" s="338"/>
      <c r="C8" s="336"/>
      <c r="D8" s="271" t="s">
        <v>27</v>
      </c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11">
        <f t="shared" si="0"/>
        <v>0</v>
      </c>
    </row>
    <row r="9" spans="2:36" ht="15.75" thickBot="1">
      <c r="B9" s="338"/>
      <c r="C9" s="336"/>
      <c r="D9" s="271" t="s">
        <v>28</v>
      </c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11">
        <f t="shared" si="0"/>
        <v>0</v>
      </c>
    </row>
    <row r="10" spans="2:36" ht="15.75" thickBot="1">
      <c r="B10" s="338"/>
      <c r="C10" s="336"/>
      <c r="D10" s="272" t="s">
        <v>86</v>
      </c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11">
        <f t="shared" si="0"/>
        <v>0</v>
      </c>
    </row>
    <row r="11" spans="2:36" ht="15.75" thickBot="1">
      <c r="B11" s="338"/>
      <c r="C11" s="336"/>
      <c r="D11" s="272" t="s">
        <v>87</v>
      </c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11">
        <f t="shared" si="0"/>
        <v>0</v>
      </c>
    </row>
    <row r="12" spans="2:36" ht="15.75" thickBot="1">
      <c r="B12" s="338"/>
      <c r="C12" s="336"/>
      <c r="D12" s="272" t="s">
        <v>52</v>
      </c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11">
        <f t="shared" si="0"/>
        <v>0</v>
      </c>
    </row>
    <row r="13" spans="2:36" ht="15.75" thickBot="1">
      <c r="B13" s="338"/>
      <c r="C13" s="336"/>
      <c r="D13" s="20" t="s">
        <v>17</v>
      </c>
      <c r="E13" s="21">
        <f>SUM(E5:E12)</f>
        <v>0</v>
      </c>
      <c r="F13" s="21">
        <f>SUM(F5:F12)</f>
        <v>0</v>
      </c>
      <c r="G13" s="21">
        <f t="shared" ref="G13:AJ13" si="1">SUM(G5:G12)</f>
        <v>0</v>
      </c>
      <c r="H13" s="21">
        <f t="shared" si="1"/>
        <v>0</v>
      </c>
      <c r="I13" s="21">
        <f t="shared" si="1"/>
        <v>0</v>
      </c>
      <c r="J13" s="21">
        <f>SUM(J5:J12)</f>
        <v>0</v>
      </c>
      <c r="K13" s="21">
        <f t="shared" si="1"/>
        <v>0</v>
      </c>
      <c r="L13" s="21">
        <f t="shared" si="1"/>
        <v>0</v>
      </c>
      <c r="M13" s="21">
        <f>SUM(M5:M12)</f>
        <v>0</v>
      </c>
      <c r="N13" s="21">
        <f t="shared" si="1"/>
        <v>0</v>
      </c>
      <c r="O13" s="21">
        <f t="shared" si="1"/>
        <v>0</v>
      </c>
      <c r="P13" s="21">
        <f t="shared" si="1"/>
        <v>0</v>
      </c>
      <c r="Q13" s="21">
        <f t="shared" si="1"/>
        <v>0</v>
      </c>
      <c r="R13" s="21">
        <f t="shared" si="1"/>
        <v>0</v>
      </c>
      <c r="S13" s="21">
        <f t="shared" si="1"/>
        <v>0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21">
        <f t="shared" si="1"/>
        <v>0</v>
      </c>
      <c r="AG13" s="21">
        <f t="shared" si="1"/>
        <v>0</v>
      </c>
      <c r="AH13" s="21">
        <f t="shared" si="1"/>
        <v>0</v>
      </c>
      <c r="AI13" s="21">
        <f t="shared" si="1"/>
        <v>0</v>
      </c>
      <c r="AJ13" s="21">
        <f t="shared" si="1"/>
        <v>0</v>
      </c>
    </row>
    <row r="14" spans="2:36" ht="15.75" thickBot="1">
      <c r="B14" s="338"/>
      <c r="C14" s="336" t="s">
        <v>23</v>
      </c>
      <c r="D14" s="273" t="s">
        <v>31</v>
      </c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11">
        <f t="shared" si="0"/>
        <v>0</v>
      </c>
    </row>
    <row r="15" spans="2:36" ht="15.75" thickBot="1">
      <c r="B15" s="338"/>
      <c r="C15" s="336"/>
      <c r="D15" s="271" t="s">
        <v>32</v>
      </c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11">
        <f t="shared" si="0"/>
        <v>0</v>
      </c>
    </row>
    <row r="16" spans="2:36" ht="15.75" thickBot="1">
      <c r="B16" s="338"/>
      <c r="C16" s="336"/>
      <c r="D16" s="271" t="s">
        <v>33</v>
      </c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11">
        <f t="shared" si="0"/>
        <v>0</v>
      </c>
    </row>
    <row r="17" spans="2:36" ht="15.75" thickBot="1">
      <c r="B17" s="338"/>
      <c r="C17" s="336"/>
      <c r="D17" s="271" t="s">
        <v>54</v>
      </c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  <c r="AJ17" s="11">
        <f t="shared" si="0"/>
        <v>0</v>
      </c>
    </row>
    <row r="18" spans="2:36" ht="15.75" thickBot="1">
      <c r="B18" s="338"/>
      <c r="C18" s="336"/>
      <c r="D18" s="271" t="s">
        <v>55</v>
      </c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  <c r="AJ18" s="11">
        <f t="shared" si="0"/>
        <v>0</v>
      </c>
    </row>
    <row r="19" spans="2:36" ht="15.75" thickBot="1">
      <c r="B19" s="338"/>
      <c r="C19" s="336"/>
      <c r="D19" s="271" t="s">
        <v>38</v>
      </c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  <c r="AF19" s="269"/>
      <c r="AG19" s="269"/>
      <c r="AH19" s="269"/>
      <c r="AI19" s="269"/>
      <c r="AJ19" s="11">
        <f t="shared" si="0"/>
        <v>0</v>
      </c>
    </row>
    <row r="20" spans="2:36" ht="15.75" thickBot="1">
      <c r="B20" s="338"/>
      <c r="C20" s="336"/>
      <c r="D20" s="271" t="s">
        <v>37</v>
      </c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  <c r="AF20" s="269"/>
      <c r="AG20" s="269"/>
      <c r="AH20" s="269"/>
      <c r="AI20" s="269"/>
      <c r="AJ20" s="11">
        <f t="shared" si="0"/>
        <v>0</v>
      </c>
    </row>
    <row r="21" spans="2:36" ht="15.75" thickBot="1">
      <c r="B21" s="338"/>
      <c r="C21" s="336"/>
      <c r="D21" s="271" t="s">
        <v>75</v>
      </c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  <c r="AF21" s="269"/>
      <c r="AG21" s="269"/>
      <c r="AH21" s="269"/>
      <c r="AI21" s="269"/>
      <c r="AJ21" s="11">
        <f t="shared" si="0"/>
        <v>0</v>
      </c>
    </row>
    <row r="22" spans="2:36" ht="15.75" thickBot="1">
      <c r="B22" s="338"/>
      <c r="C22" s="336"/>
      <c r="D22" s="271" t="s">
        <v>52</v>
      </c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  <c r="AF22" s="269"/>
      <c r="AG22" s="269"/>
      <c r="AH22" s="269"/>
      <c r="AI22" s="269"/>
      <c r="AJ22" s="11">
        <f t="shared" si="0"/>
        <v>0</v>
      </c>
    </row>
    <row r="23" spans="2:36" ht="15.75" thickBot="1">
      <c r="B23" s="338"/>
      <c r="C23" s="336"/>
      <c r="D23" s="22" t="s">
        <v>17</v>
      </c>
      <c r="E23" s="21">
        <f>SUM(E14:E22)</f>
        <v>0</v>
      </c>
      <c r="F23" s="21">
        <f t="shared" ref="F23:AJ23" si="2">SUM(F14:F22)</f>
        <v>0</v>
      </c>
      <c r="G23" s="21">
        <f t="shared" si="2"/>
        <v>0</v>
      </c>
      <c r="H23" s="21">
        <f t="shared" si="2"/>
        <v>0</v>
      </c>
      <c r="I23" s="21">
        <f t="shared" si="2"/>
        <v>0</v>
      </c>
      <c r="J23" s="21">
        <f t="shared" si="2"/>
        <v>0</v>
      </c>
      <c r="K23" s="21">
        <f t="shared" si="2"/>
        <v>0</v>
      </c>
      <c r="L23" s="21">
        <f t="shared" si="2"/>
        <v>0</v>
      </c>
      <c r="M23" s="21">
        <f t="shared" si="2"/>
        <v>0</v>
      </c>
      <c r="N23" s="21">
        <f t="shared" si="2"/>
        <v>0</v>
      </c>
      <c r="O23" s="21">
        <f t="shared" si="2"/>
        <v>0</v>
      </c>
      <c r="P23" s="21">
        <f t="shared" si="2"/>
        <v>0</v>
      </c>
      <c r="Q23" s="21">
        <f t="shared" si="2"/>
        <v>0</v>
      </c>
      <c r="R23" s="21">
        <f t="shared" si="2"/>
        <v>0</v>
      </c>
      <c r="S23" s="21">
        <f t="shared" si="2"/>
        <v>0</v>
      </c>
      <c r="T23" s="21">
        <f t="shared" si="2"/>
        <v>0</v>
      </c>
      <c r="U23" s="21">
        <f t="shared" si="2"/>
        <v>0</v>
      </c>
      <c r="V23" s="21">
        <f t="shared" si="2"/>
        <v>0</v>
      </c>
      <c r="W23" s="21">
        <f t="shared" si="2"/>
        <v>0</v>
      </c>
      <c r="X23" s="21">
        <f t="shared" si="2"/>
        <v>0</v>
      </c>
      <c r="Y23" s="21">
        <f t="shared" si="2"/>
        <v>0</v>
      </c>
      <c r="Z23" s="21">
        <f t="shared" si="2"/>
        <v>0</v>
      </c>
      <c r="AA23" s="21">
        <f t="shared" si="2"/>
        <v>0</v>
      </c>
      <c r="AB23" s="21">
        <f t="shared" si="2"/>
        <v>0</v>
      </c>
      <c r="AC23" s="21">
        <f t="shared" si="2"/>
        <v>0</v>
      </c>
      <c r="AD23" s="21">
        <f t="shared" si="2"/>
        <v>0</v>
      </c>
      <c r="AE23" s="21">
        <f t="shared" si="2"/>
        <v>0</v>
      </c>
      <c r="AF23" s="21">
        <f t="shared" si="2"/>
        <v>0</v>
      </c>
      <c r="AG23" s="21">
        <f t="shared" si="2"/>
        <v>0</v>
      </c>
      <c r="AH23" s="21">
        <f t="shared" si="2"/>
        <v>0</v>
      </c>
      <c r="AI23" s="21">
        <f t="shared" si="2"/>
        <v>0</v>
      </c>
      <c r="AJ23" s="21">
        <f t="shared" si="2"/>
        <v>0</v>
      </c>
    </row>
    <row r="24" spans="2:36" ht="15.75" thickBot="1">
      <c r="B24" s="338"/>
      <c r="C24" s="336" t="s">
        <v>39</v>
      </c>
      <c r="D24" s="271" t="s">
        <v>40</v>
      </c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  <c r="AF24" s="269"/>
      <c r="AG24" s="269"/>
      <c r="AH24" s="269"/>
      <c r="AI24" s="269"/>
      <c r="AJ24" s="11">
        <f t="shared" si="0"/>
        <v>0</v>
      </c>
    </row>
    <row r="25" spans="2:36" ht="15.75" thickBot="1">
      <c r="B25" s="338"/>
      <c r="C25" s="336"/>
      <c r="D25" s="271" t="s">
        <v>41</v>
      </c>
      <c r="E25" s="269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  <c r="AF25" s="269"/>
      <c r="AG25" s="269"/>
      <c r="AH25" s="269"/>
      <c r="AI25" s="269"/>
      <c r="AJ25" s="11">
        <f t="shared" si="0"/>
        <v>0</v>
      </c>
    </row>
    <row r="26" spans="2:36" ht="15.75" thickBot="1">
      <c r="B26" s="338"/>
      <c r="C26" s="336"/>
      <c r="D26" s="271" t="s">
        <v>52</v>
      </c>
      <c r="E26" s="269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  <c r="AF26" s="269"/>
      <c r="AG26" s="269"/>
      <c r="AH26" s="269"/>
      <c r="AI26" s="269"/>
      <c r="AJ26" s="11">
        <f t="shared" si="0"/>
        <v>0</v>
      </c>
    </row>
    <row r="27" spans="2:36" ht="15.75" thickBot="1">
      <c r="B27" s="338"/>
      <c r="C27" s="336"/>
      <c r="D27" s="16" t="s">
        <v>17</v>
      </c>
      <c r="E27" s="17">
        <f>SUM(E24:E26)</f>
        <v>0</v>
      </c>
      <c r="F27" s="17">
        <f t="shared" ref="F27:AJ27" si="3">SUM(F24:F26)</f>
        <v>0</v>
      </c>
      <c r="G27" s="17">
        <f t="shared" si="3"/>
        <v>0</v>
      </c>
      <c r="H27" s="17">
        <f t="shared" si="3"/>
        <v>0</v>
      </c>
      <c r="I27" s="17">
        <f t="shared" si="3"/>
        <v>0</v>
      </c>
      <c r="J27" s="17">
        <f t="shared" si="3"/>
        <v>0</v>
      </c>
      <c r="K27" s="17">
        <f t="shared" si="3"/>
        <v>0</v>
      </c>
      <c r="L27" s="17">
        <f t="shared" si="3"/>
        <v>0</v>
      </c>
      <c r="M27" s="17">
        <f t="shared" si="3"/>
        <v>0</v>
      </c>
      <c r="N27" s="17">
        <f t="shared" si="3"/>
        <v>0</v>
      </c>
      <c r="O27" s="17">
        <f t="shared" si="3"/>
        <v>0</v>
      </c>
      <c r="P27" s="17">
        <f t="shared" si="3"/>
        <v>0</v>
      </c>
      <c r="Q27" s="17">
        <f t="shared" si="3"/>
        <v>0</v>
      </c>
      <c r="R27" s="17">
        <f t="shared" si="3"/>
        <v>0</v>
      </c>
      <c r="S27" s="17">
        <f t="shared" si="3"/>
        <v>0</v>
      </c>
      <c r="T27" s="17">
        <f t="shared" si="3"/>
        <v>0</v>
      </c>
      <c r="U27" s="17">
        <f t="shared" si="3"/>
        <v>0</v>
      </c>
      <c r="V27" s="17">
        <f t="shared" si="3"/>
        <v>0</v>
      </c>
      <c r="W27" s="17">
        <f t="shared" si="3"/>
        <v>0</v>
      </c>
      <c r="X27" s="17">
        <f t="shared" si="3"/>
        <v>0</v>
      </c>
      <c r="Y27" s="17">
        <f t="shared" si="3"/>
        <v>0</v>
      </c>
      <c r="Z27" s="17">
        <f t="shared" si="3"/>
        <v>0</v>
      </c>
      <c r="AA27" s="17">
        <f t="shared" si="3"/>
        <v>0</v>
      </c>
      <c r="AB27" s="17">
        <f t="shared" si="3"/>
        <v>0</v>
      </c>
      <c r="AC27" s="17">
        <f t="shared" si="3"/>
        <v>0</v>
      </c>
      <c r="AD27" s="17">
        <f t="shared" si="3"/>
        <v>0</v>
      </c>
      <c r="AE27" s="17">
        <f t="shared" si="3"/>
        <v>0</v>
      </c>
      <c r="AF27" s="17">
        <f t="shared" si="3"/>
        <v>0</v>
      </c>
      <c r="AG27" s="17">
        <f t="shared" si="3"/>
        <v>0</v>
      </c>
      <c r="AH27" s="17">
        <f t="shared" si="3"/>
        <v>0</v>
      </c>
      <c r="AI27" s="17">
        <f t="shared" si="3"/>
        <v>0</v>
      </c>
      <c r="AJ27" s="17">
        <f t="shared" si="3"/>
        <v>0</v>
      </c>
    </row>
    <row r="28" spans="2:36" ht="15.75" thickBot="1">
      <c r="B28" s="338"/>
      <c r="C28" s="336" t="s">
        <v>45</v>
      </c>
      <c r="D28" s="271" t="s">
        <v>79</v>
      </c>
      <c r="E28" s="269"/>
      <c r="F28" s="270"/>
      <c r="G28" s="270"/>
      <c r="H28" s="270"/>
      <c r="I28" s="270"/>
      <c r="J28" s="270"/>
      <c r="K28" s="270"/>
      <c r="L28" s="270"/>
      <c r="M28" s="270"/>
      <c r="N28" s="270"/>
      <c r="O28" s="270"/>
      <c r="P28" s="270"/>
      <c r="Q28" s="270"/>
      <c r="R28" s="270"/>
      <c r="S28" s="270"/>
      <c r="T28" s="270"/>
      <c r="U28" s="270"/>
      <c r="V28" s="270"/>
      <c r="W28" s="270"/>
      <c r="X28" s="270"/>
      <c r="Y28" s="270"/>
      <c r="Z28" s="270"/>
      <c r="AA28" s="270"/>
      <c r="AB28" s="270"/>
      <c r="AC28" s="270"/>
      <c r="AD28" s="270"/>
      <c r="AE28" s="270"/>
      <c r="AF28" s="270"/>
      <c r="AG28" s="270"/>
      <c r="AH28" s="270"/>
      <c r="AI28" s="270"/>
      <c r="AJ28" s="11">
        <f t="shared" si="0"/>
        <v>0</v>
      </c>
    </row>
    <row r="29" spans="2:36" ht="15.75" thickBot="1">
      <c r="B29" s="338"/>
      <c r="C29" s="336"/>
      <c r="D29" s="271" t="s">
        <v>78</v>
      </c>
      <c r="E29" s="269"/>
      <c r="F29" s="270"/>
      <c r="G29" s="270"/>
      <c r="H29" s="270"/>
      <c r="I29" s="270"/>
      <c r="J29" s="270"/>
      <c r="K29" s="270"/>
      <c r="L29" s="270"/>
      <c r="M29" s="270"/>
      <c r="N29" s="270"/>
      <c r="O29" s="270"/>
      <c r="P29" s="270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11">
        <f t="shared" si="0"/>
        <v>0</v>
      </c>
    </row>
    <row r="30" spans="2:36" ht="15.75" thickBot="1">
      <c r="B30" s="338"/>
      <c r="C30" s="336"/>
      <c r="D30" s="271" t="s">
        <v>48</v>
      </c>
      <c r="E30" s="269"/>
      <c r="F30" s="270"/>
      <c r="G30" s="270"/>
      <c r="H30" s="270"/>
      <c r="I30" s="270"/>
      <c r="J30" s="270"/>
      <c r="K30" s="270"/>
      <c r="L30" s="270"/>
      <c r="M30" s="270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11">
        <f t="shared" si="0"/>
        <v>0</v>
      </c>
    </row>
    <row r="31" spans="2:36" ht="15.75" thickBot="1">
      <c r="B31" s="338"/>
      <c r="C31" s="336"/>
      <c r="D31" s="271" t="s">
        <v>52</v>
      </c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11">
        <f t="shared" si="0"/>
        <v>0</v>
      </c>
    </row>
    <row r="32" spans="2:36" ht="15.75" thickBot="1">
      <c r="B32" s="338"/>
      <c r="C32" s="336"/>
      <c r="D32" s="16" t="s">
        <v>17</v>
      </c>
      <c r="E32" s="17">
        <f>SUM(E28:E31)</f>
        <v>0</v>
      </c>
      <c r="F32" s="17">
        <f t="shared" ref="F32:AJ32" si="4">SUM(F28:F31)</f>
        <v>0</v>
      </c>
      <c r="G32" s="17">
        <f t="shared" si="4"/>
        <v>0</v>
      </c>
      <c r="H32" s="17">
        <f t="shared" si="4"/>
        <v>0</v>
      </c>
      <c r="I32" s="17">
        <f t="shared" si="4"/>
        <v>0</v>
      </c>
      <c r="J32" s="17">
        <f t="shared" si="4"/>
        <v>0</v>
      </c>
      <c r="K32" s="17">
        <f t="shared" si="4"/>
        <v>0</v>
      </c>
      <c r="L32" s="17">
        <f t="shared" si="4"/>
        <v>0</v>
      </c>
      <c r="M32" s="17">
        <f t="shared" si="4"/>
        <v>0</v>
      </c>
      <c r="N32" s="17">
        <f t="shared" si="4"/>
        <v>0</v>
      </c>
      <c r="O32" s="17">
        <f t="shared" si="4"/>
        <v>0</v>
      </c>
      <c r="P32" s="17">
        <f t="shared" si="4"/>
        <v>0</v>
      </c>
      <c r="Q32" s="17">
        <f t="shared" si="4"/>
        <v>0</v>
      </c>
      <c r="R32" s="17">
        <f t="shared" si="4"/>
        <v>0</v>
      </c>
      <c r="S32" s="17">
        <f t="shared" si="4"/>
        <v>0</v>
      </c>
      <c r="T32" s="17">
        <f t="shared" si="4"/>
        <v>0</v>
      </c>
      <c r="U32" s="17">
        <f t="shared" si="4"/>
        <v>0</v>
      </c>
      <c r="V32" s="17">
        <f t="shared" si="4"/>
        <v>0</v>
      </c>
      <c r="W32" s="17">
        <f t="shared" si="4"/>
        <v>0</v>
      </c>
      <c r="X32" s="17">
        <f t="shared" si="4"/>
        <v>0</v>
      </c>
      <c r="Y32" s="17">
        <f t="shared" si="4"/>
        <v>0</v>
      </c>
      <c r="Z32" s="17">
        <f t="shared" si="4"/>
        <v>0</v>
      </c>
      <c r="AA32" s="17">
        <f t="shared" si="4"/>
        <v>0</v>
      </c>
      <c r="AB32" s="17">
        <f t="shared" si="4"/>
        <v>0</v>
      </c>
      <c r="AC32" s="17">
        <f t="shared" si="4"/>
        <v>0</v>
      </c>
      <c r="AD32" s="17">
        <f t="shared" si="4"/>
        <v>0</v>
      </c>
      <c r="AE32" s="17">
        <f t="shared" si="4"/>
        <v>0</v>
      </c>
      <c r="AF32" s="17">
        <f t="shared" si="4"/>
        <v>0</v>
      </c>
      <c r="AG32" s="17">
        <f t="shared" si="4"/>
        <v>0</v>
      </c>
      <c r="AH32" s="17">
        <f t="shared" si="4"/>
        <v>0</v>
      </c>
      <c r="AI32" s="17">
        <f t="shared" si="4"/>
        <v>0</v>
      </c>
      <c r="AJ32" s="17">
        <f t="shared" si="4"/>
        <v>0</v>
      </c>
    </row>
    <row r="33" spans="2:36" ht="15.75" thickBot="1">
      <c r="B33" s="338"/>
      <c r="C33" s="336" t="s">
        <v>22</v>
      </c>
      <c r="D33" s="271" t="s">
        <v>34</v>
      </c>
      <c r="E33" s="269"/>
      <c r="F33" s="270"/>
      <c r="G33" s="270"/>
      <c r="H33" s="270"/>
      <c r="I33" s="270"/>
      <c r="J33" s="270"/>
      <c r="K33" s="270"/>
      <c r="L33" s="270"/>
      <c r="M33" s="270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11">
        <f t="shared" si="0"/>
        <v>0</v>
      </c>
    </row>
    <row r="34" spans="2:36" ht="15.75" thickBot="1">
      <c r="B34" s="338"/>
      <c r="C34" s="336"/>
      <c r="D34" s="271" t="s">
        <v>35</v>
      </c>
      <c r="E34" s="269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11">
        <f t="shared" si="0"/>
        <v>0</v>
      </c>
    </row>
    <row r="35" spans="2:36" ht="15.75" thickBot="1">
      <c r="B35" s="338"/>
      <c r="C35" s="336"/>
      <c r="D35" s="271" t="s">
        <v>52</v>
      </c>
      <c r="E35" s="269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11">
        <f t="shared" si="0"/>
        <v>0</v>
      </c>
    </row>
    <row r="36" spans="2:36" ht="15.75" thickBot="1">
      <c r="B36" s="338"/>
      <c r="C36" s="336"/>
      <c r="D36" s="16" t="s">
        <v>17</v>
      </c>
      <c r="E36" s="17">
        <f>SUM(E33:E35)</f>
        <v>0</v>
      </c>
      <c r="F36" s="17">
        <f t="shared" ref="F36:AJ36" si="5">SUM(F33:F35)</f>
        <v>0</v>
      </c>
      <c r="G36" s="17">
        <f t="shared" si="5"/>
        <v>0</v>
      </c>
      <c r="H36" s="17">
        <f t="shared" si="5"/>
        <v>0</v>
      </c>
      <c r="I36" s="17">
        <f t="shared" si="5"/>
        <v>0</v>
      </c>
      <c r="J36" s="17">
        <f t="shared" si="5"/>
        <v>0</v>
      </c>
      <c r="K36" s="17">
        <f t="shared" si="5"/>
        <v>0</v>
      </c>
      <c r="L36" s="17">
        <f t="shared" si="5"/>
        <v>0</v>
      </c>
      <c r="M36" s="17">
        <f t="shared" si="5"/>
        <v>0</v>
      </c>
      <c r="N36" s="17">
        <f t="shared" si="5"/>
        <v>0</v>
      </c>
      <c r="O36" s="17">
        <f t="shared" si="5"/>
        <v>0</v>
      </c>
      <c r="P36" s="17">
        <f t="shared" si="5"/>
        <v>0</v>
      </c>
      <c r="Q36" s="17">
        <f t="shared" si="5"/>
        <v>0</v>
      </c>
      <c r="R36" s="17">
        <f t="shared" si="5"/>
        <v>0</v>
      </c>
      <c r="S36" s="17">
        <f t="shared" si="5"/>
        <v>0</v>
      </c>
      <c r="T36" s="17">
        <f t="shared" si="5"/>
        <v>0</v>
      </c>
      <c r="U36" s="17">
        <f t="shared" si="5"/>
        <v>0</v>
      </c>
      <c r="V36" s="17">
        <f t="shared" si="5"/>
        <v>0</v>
      </c>
      <c r="W36" s="17">
        <f t="shared" si="5"/>
        <v>0</v>
      </c>
      <c r="X36" s="17">
        <f t="shared" si="5"/>
        <v>0</v>
      </c>
      <c r="Y36" s="17">
        <f t="shared" si="5"/>
        <v>0</v>
      </c>
      <c r="Z36" s="17">
        <f t="shared" si="5"/>
        <v>0</v>
      </c>
      <c r="AA36" s="17">
        <f t="shared" si="5"/>
        <v>0</v>
      </c>
      <c r="AB36" s="17">
        <f t="shared" si="5"/>
        <v>0</v>
      </c>
      <c r="AC36" s="17">
        <f t="shared" si="5"/>
        <v>0</v>
      </c>
      <c r="AD36" s="17">
        <f t="shared" si="5"/>
        <v>0</v>
      </c>
      <c r="AE36" s="17">
        <f t="shared" si="5"/>
        <v>0</v>
      </c>
      <c r="AF36" s="17">
        <f t="shared" si="5"/>
        <v>0</v>
      </c>
      <c r="AG36" s="17">
        <f t="shared" si="5"/>
        <v>0</v>
      </c>
      <c r="AH36" s="17">
        <f t="shared" si="5"/>
        <v>0</v>
      </c>
      <c r="AI36" s="17">
        <f t="shared" si="5"/>
        <v>0</v>
      </c>
      <c r="AJ36" s="17">
        <f t="shared" si="5"/>
        <v>0</v>
      </c>
    </row>
    <row r="37" spans="2:36" ht="15.75" thickBot="1">
      <c r="B37" s="338"/>
      <c r="C37" s="336" t="s">
        <v>58</v>
      </c>
      <c r="D37" s="274" t="s">
        <v>91</v>
      </c>
      <c r="E37" s="269"/>
      <c r="F37" s="270"/>
      <c r="G37" s="270"/>
      <c r="H37" s="270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11">
        <f t="shared" si="0"/>
        <v>0</v>
      </c>
    </row>
    <row r="38" spans="2:36" ht="15.75" thickBot="1">
      <c r="B38" s="338"/>
      <c r="C38" s="336"/>
      <c r="D38" s="271" t="s">
        <v>60</v>
      </c>
      <c r="E38" s="269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  <c r="AC38" s="270"/>
      <c r="AD38" s="270"/>
      <c r="AE38" s="270"/>
      <c r="AF38" s="270"/>
      <c r="AG38" s="270"/>
      <c r="AH38" s="270"/>
      <c r="AI38" s="270"/>
      <c r="AJ38" s="11">
        <f t="shared" si="0"/>
        <v>0</v>
      </c>
    </row>
    <row r="39" spans="2:36" ht="15.75" thickBot="1">
      <c r="B39" s="338"/>
      <c r="C39" s="336"/>
      <c r="D39" s="271" t="s">
        <v>61</v>
      </c>
      <c r="E39" s="269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0"/>
      <c r="AH39" s="270"/>
      <c r="AI39" s="270"/>
      <c r="AJ39" s="11">
        <f t="shared" si="0"/>
        <v>0</v>
      </c>
    </row>
    <row r="40" spans="2:36" ht="15.75" thickBot="1">
      <c r="B40" s="338"/>
      <c r="C40" s="336"/>
      <c r="D40" s="271" t="s">
        <v>62</v>
      </c>
      <c r="E40" s="269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270"/>
      <c r="V40" s="270"/>
      <c r="W40" s="270"/>
      <c r="X40" s="270"/>
      <c r="Y40" s="270"/>
      <c r="Z40" s="270"/>
      <c r="AA40" s="270"/>
      <c r="AB40" s="270"/>
      <c r="AC40" s="270"/>
      <c r="AD40" s="270"/>
      <c r="AE40" s="270"/>
      <c r="AF40" s="270"/>
      <c r="AG40" s="270"/>
      <c r="AH40" s="270"/>
      <c r="AI40" s="270"/>
      <c r="AJ40" s="11">
        <f t="shared" si="0"/>
        <v>0</v>
      </c>
    </row>
    <row r="41" spans="2:36" ht="15.75" thickBot="1">
      <c r="B41" s="338"/>
      <c r="C41" s="336"/>
      <c r="D41" s="271" t="s">
        <v>81</v>
      </c>
      <c r="E41" s="269"/>
      <c r="F41" s="270"/>
      <c r="G41" s="270"/>
      <c r="H41" s="270"/>
      <c r="I41" s="270"/>
      <c r="J41" s="270"/>
      <c r="K41" s="270"/>
      <c r="L41" s="270"/>
      <c r="M41" s="270"/>
      <c r="N41" s="270"/>
      <c r="O41" s="270"/>
      <c r="P41" s="270"/>
      <c r="Q41" s="27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  <c r="AC41" s="270"/>
      <c r="AD41" s="270"/>
      <c r="AE41" s="270"/>
      <c r="AF41" s="270"/>
      <c r="AG41" s="270"/>
      <c r="AH41" s="270"/>
      <c r="AI41" s="270"/>
      <c r="AJ41" s="11">
        <f t="shared" si="0"/>
        <v>0</v>
      </c>
    </row>
    <row r="42" spans="2:36" ht="15.75" thickBot="1">
      <c r="B42" s="338"/>
      <c r="C42" s="336"/>
      <c r="D42" s="271" t="s">
        <v>110</v>
      </c>
      <c r="E42" s="269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11">
        <f t="shared" si="0"/>
        <v>0</v>
      </c>
    </row>
    <row r="43" spans="2:36" ht="15.75" thickBot="1">
      <c r="B43" s="338"/>
      <c r="C43" s="336"/>
      <c r="D43" s="271" t="s">
        <v>52</v>
      </c>
      <c r="E43" s="269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69"/>
      <c r="Q43" s="269"/>
      <c r="R43" s="269"/>
      <c r="S43" s="269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11">
        <f t="shared" si="0"/>
        <v>0</v>
      </c>
    </row>
    <row r="44" spans="2:36" ht="15.75" thickBot="1">
      <c r="B44" s="338"/>
      <c r="C44" s="336"/>
      <c r="D44" s="16" t="s">
        <v>17</v>
      </c>
      <c r="E44" s="17">
        <f>SUM(E37:E43)</f>
        <v>0</v>
      </c>
      <c r="F44" s="17">
        <f t="shared" ref="F44:AJ44" si="6">SUM(F37:F43)</f>
        <v>0</v>
      </c>
      <c r="G44" s="17">
        <f t="shared" si="6"/>
        <v>0</v>
      </c>
      <c r="H44" s="17">
        <f t="shared" si="6"/>
        <v>0</v>
      </c>
      <c r="I44" s="17">
        <f t="shared" si="6"/>
        <v>0</v>
      </c>
      <c r="J44" s="17">
        <f t="shared" si="6"/>
        <v>0</v>
      </c>
      <c r="K44" s="17">
        <f t="shared" si="6"/>
        <v>0</v>
      </c>
      <c r="L44" s="17">
        <f t="shared" si="6"/>
        <v>0</v>
      </c>
      <c r="M44" s="17">
        <f t="shared" si="6"/>
        <v>0</v>
      </c>
      <c r="N44" s="17">
        <f t="shared" si="6"/>
        <v>0</v>
      </c>
      <c r="O44" s="17">
        <f t="shared" si="6"/>
        <v>0</v>
      </c>
      <c r="P44" s="17">
        <f t="shared" si="6"/>
        <v>0</v>
      </c>
      <c r="Q44" s="17">
        <f t="shared" si="6"/>
        <v>0</v>
      </c>
      <c r="R44" s="17">
        <f t="shared" si="6"/>
        <v>0</v>
      </c>
      <c r="S44" s="17">
        <f t="shared" si="6"/>
        <v>0</v>
      </c>
      <c r="T44" s="17">
        <f t="shared" si="6"/>
        <v>0</v>
      </c>
      <c r="U44" s="17">
        <f t="shared" si="6"/>
        <v>0</v>
      </c>
      <c r="V44" s="17">
        <f t="shared" si="6"/>
        <v>0</v>
      </c>
      <c r="W44" s="17">
        <f t="shared" si="6"/>
        <v>0</v>
      </c>
      <c r="X44" s="17">
        <f t="shared" si="6"/>
        <v>0</v>
      </c>
      <c r="Y44" s="17">
        <f t="shared" si="6"/>
        <v>0</v>
      </c>
      <c r="Z44" s="17">
        <f t="shared" si="6"/>
        <v>0</v>
      </c>
      <c r="AA44" s="17">
        <f t="shared" si="6"/>
        <v>0</v>
      </c>
      <c r="AB44" s="17">
        <f t="shared" si="6"/>
        <v>0</v>
      </c>
      <c r="AC44" s="17">
        <f t="shared" si="6"/>
        <v>0</v>
      </c>
      <c r="AD44" s="17">
        <f t="shared" si="6"/>
        <v>0</v>
      </c>
      <c r="AE44" s="17">
        <f t="shared" si="6"/>
        <v>0</v>
      </c>
      <c r="AF44" s="17">
        <f t="shared" si="6"/>
        <v>0</v>
      </c>
      <c r="AG44" s="17">
        <f t="shared" si="6"/>
        <v>0</v>
      </c>
      <c r="AH44" s="17">
        <f t="shared" si="6"/>
        <v>0</v>
      </c>
      <c r="AI44" s="17">
        <f t="shared" si="6"/>
        <v>0</v>
      </c>
      <c r="AJ44" s="17">
        <f t="shared" si="6"/>
        <v>0</v>
      </c>
    </row>
    <row r="45" spans="2:36" ht="15.75" thickBot="1">
      <c r="B45" s="338"/>
      <c r="C45" s="336" t="s">
        <v>36</v>
      </c>
      <c r="D45" s="271" t="s">
        <v>63</v>
      </c>
      <c r="E45" s="269"/>
      <c r="F45" s="270"/>
      <c r="G45" s="270"/>
      <c r="H45" s="270"/>
      <c r="I45" s="270"/>
      <c r="J45" s="270"/>
      <c r="K45" s="270"/>
      <c r="L45" s="270"/>
      <c r="M45" s="270"/>
      <c r="N45" s="270"/>
      <c r="O45" s="270"/>
      <c r="P45" s="270"/>
      <c r="Q45" s="270"/>
      <c r="R45" s="270"/>
      <c r="S45" s="270"/>
      <c r="T45" s="270"/>
      <c r="U45" s="270"/>
      <c r="V45" s="270"/>
      <c r="W45" s="270"/>
      <c r="X45" s="270"/>
      <c r="Y45" s="270"/>
      <c r="Z45" s="270"/>
      <c r="AA45" s="270"/>
      <c r="AB45" s="270"/>
      <c r="AC45" s="270"/>
      <c r="AD45" s="270"/>
      <c r="AE45" s="270"/>
      <c r="AF45" s="270"/>
      <c r="AG45" s="270"/>
      <c r="AH45" s="270"/>
      <c r="AI45" s="270"/>
      <c r="AJ45" s="11">
        <f t="shared" si="0"/>
        <v>0</v>
      </c>
    </row>
    <row r="46" spans="2:36" ht="15.75" thickBot="1">
      <c r="B46" s="338"/>
      <c r="C46" s="336"/>
      <c r="D46" s="271" t="s">
        <v>64</v>
      </c>
      <c r="E46" s="269"/>
      <c r="F46" s="270"/>
      <c r="G46" s="270"/>
      <c r="H46" s="270"/>
      <c r="I46" s="270"/>
      <c r="J46" s="270"/>
      <c r="K46" s="270"/>
      <c r="L46" s="270"/>
      <c r="M46" s="270"/>
      <c r="N46" s="270"/>
      <c r="O46" s="270"/>
      <c r="P46" s="270"/>
      <c r="Q46" s="270"/>
      <c r="R46" s="270"/>
      <c r="S46" s="270"/>
      <c r="T46" s="270"/>
      <c r="U46" s="270"/>
      <c r="V46" s="270"/>
      <c r="W46" s="270"/>
      <c r="X46" s="270"/>
      <c r="Y46" s="270"/>
      <c r="Z46" s="270"/>
      <c r="AA46" s="270"/>
      <c r="AB46" s="270"/>
      <c r="AC46" s="270"/>
      <c r="AD46" s="270"/>
      <c r="AE46" s="270"/>
      <c r="AF46" s="270"/>
      <c r="AG46" s="270"/>
      <c r="AH46" s="270"/>
      <c r="AI46" s="270"/>
      <c r="AJ46" s="11">
        <f t="shared" si="0"/>
        <v>0</v>
      </c>
    </row>
    <row r="47" spans="2:36" ht="15.75" thickBot="1">
      <c r="B47" s="338"/>
      <c r="C47" s="336"/>
      <c r="D47" s="271" t="s">
        <v>52</v>
      </c>
      <c r="E47" s="269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69"/>
      <c r="S47" s="269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11">
        <f t="shared" si="0"/>
        <v>0</v>
      </c>
    </row>
    <row r="48" spans="2:36" ht="15.75" thickBot="1">
      <c r="B48" s="338"/>
      <c r="C48" s="336"/>
      <c r="D48" s="16" t="s">
        <v>17</v>
      </c>
      <c r="E48" s="17">
        <f>SUM(E45:E47)</f>
        <v>0</v>
      </c>
      <c r="F48" s="17">
        <f t="shared" ref="F48:AJ48" si="7">SUM(F45:F47)</f>
        <v>0</v>
      </c>
      <c r="G48" s="17">
        <f t="shared" si="7"/>
        <v>0</v>
      </c>
      <c r="H48" s="17">
        <f t="shared" si="7"/>
        <v>0</v>
      </c>
      <c r="I48" s="17">
        <f t="shared" si="7"/>
        <v>0</v>
      </c>
      <c r="J48" s="17">
        <f t="shared" si="7"/>
        <v>0</v>
      </c>
      <c r="K48" s="17">
        <f t="shared" si="7"/>
        <v>0</v>
      </c>
      <c r="L48" s="17">
        <f t="shared" si="7"/>
        <v>0</v>
      </c>
      <c r="M48" s="17">
        <f t="shared" si="7"/>
        <v>0</v>
      </c>
      <c r="N48" s="17">
        <f t="shared" si="7"/>
        <v>0</v>
      </c>
      <c r="O48" s="17">
        <f t="shared" si="7"/>
        <v>0</v>
      </c>
      <c r="P48" s="17">
        <f t="shared" si="7"/>
        <v>0</v>
      </c>
      <c r="Q48" s="17">
        <f t="shared" si="7"/>
        <v>0</v>
      </c>
      <c r="R48" s="17">
        <f t="shared" si="7"/>
        <v>0</v>
      </c>
      <c r="S48" s="17">
        <f t="shared" si="7"/>
        <v>0</v>
      </c>
      <c r="T48" s="17">
        <f t="shared" si="7"/>
        <v>0</v>
      </c>
      <c r="U48" s="17">
        <f t="shared" si="7"/>
        <v>0</v>
      </c>
      <c r="V48" s="17">
        <f t="shared" si="7"/>
        <v>0</v>
      </c>
      <c r="W48" s="17">
        <f t="shared" si="7"/>
        <v>0</v>
      </c>
      <c r="X48" s="17">
        <f t="shared" si="7"/>
        <v>0</v>
      </c>
      <c r="Y48" s="17">
        <f t="shared" si="7"/>
        <v>0</v>
      </c>
      <c r="Z48" s="17">
        <f t="shared" si="7"/>
        <v>0</v>
      </c>
      <c r="AA48" s="17">
        <f t="shared" si="7"/>
        <v>0</v>
      </c>
      <c r="AB48" s="17">
        <f t="shared" si="7"/>
        <v>0</v>
      </c>
      <c r="AC48" s="17">
        <f t="shared" si="7"/>
        <v>0</v>
      </c>
      <c r="AD48" s="17">
        <f t="shared" si="7"/>
        <v>0</v>
      </c>
      <c r="AE48" s="17">
        <f t="shared" si="7"/>
        <v>0</v>
      </c>
      <c r="AF48" s="17">
        <f t="shared" si="7"/>
        <v>0</v>
      </c>
      <c r="AG48" s="17">
        <f t="shared" si="7"/>
        <v>0</v>
      </c>
      <c r="AH48" s="17">
        <f t="shared" si="7"/>
        <v>0</v>
      </c>
      <c r="AI48" s="17">
        <f t="shared" si="7"/>
        <v>0</v>
      </c>
      <c r="AJ48" s="17">
        <f t="shared" si="7"/>
        <v>0</v>
      </c>
    </row>
    <row r="49" spans="2:36" ht="15.75" thickBot="1">
      <c r="B49" s="338"/>
      <c r="C49" s="336" t="s">
        <v>65</v>
      </c>
      <c r="D49" s="271" t="s">
        <v>66</v>
      </c>
      <c r="E49" s="269"/>
      <c r="F49" s="270"/>
      <c r="G49" s="270"/>
      <c r="H49" s="270"/>
      <c r="I49" s="270"/>
      <c r="J49" s="270"/>
      <c r="K49" s="270"/>
      <c r="L49" s="270"/>
      <c r="M49" s="270"/>
      <c r="N49" s="270"/>
      <c r="O49" s="270"/>
      <c r="P49" s="270"/>
      <c r="Q49" s="270"/>
      <c r="R49" s="270"/>
      <c r="S49" s="270"/>
      <c r="T49" s="270"/>
      <c r="U49" s="270"/>
      <c r="V49" s="270"/>
      <c r="W49" s="270"/>
      <c r="X49" s="270"/>
      <c r="Y49" s="270"/>
      <c r="Z49" s="270"/>
      <c r="AA49" s="270"/>
      <c r="AB49" s="270"/>
      <c r="AC49" s="270"/>
      <c r="AD49" s="270"/>
      <c r="AE49" s="270"/>
      <c r="AF49" s="270"/>
      <c r="AG49" s="270"/>
      <c r="AH49" s="270"/>
      <c r="AI49" s="270"/>
      <c r="AJ49" s="11">
        <f t="shared" si="0"/>
        <v>0</v>
      </c>
    </row>
    <row r="50" spans="2:36" ht="15.75" thickBot="1">
      <c r="B50" s="338"/>
      <c r="C50" s="336"/>
      <c r="D50" s="271" t="s">
        <v>67</v>
      </c>
      <c r="E50" s="269"/>
      <c r="F50" s="270"/>
      <c r="G50" s="270"/>
      <c r="H50" s="270"/>
      <c r="I50" s="270"/>
      <c r="J50" s="270"/>
      <c r="K50" s="270"/>
      <c r="L50" s="270"/>
      <c r="M50" s="270"/>
      <c r="N50" s="270"/>
      <c r="O50" s="270"/>
      <c r="P50" s="270"/>
      <c r="Q50" s="270"/>
      <c r="R50" s="270"/>
      <c r="S50" s="270"/>
      <c r="T50" s="270"/>
      <c r="U50" s="270"/>
      <c r="V50" s="270"/>
      <c r="W50" s="270"/>
      <c r="X50" s="270"/>
      <c r="Y50" s="270"/>
      <c r="Z50" s="270"/>
      <c r="AA50" s="270"/>
      <c r="AB50" s="270"/>
      <c r="AC50" s="270"/>
      <c r="AD50" s="270"/>
      <c r="AE50" s="270"/>
      <c r="AF50" s="270"/>
      <c r="AG50" s="270"/>
      <c r="AH50" s="270"/>
      <c r="AI50" s="270"/>
      <c r="AJ50" s="11">
        <f t="shared" si="0"/>
        <v>0</v>
      </c>
    </row>
    <row r="51" spans="2:36" ht="15.75" thickBot="1">
      <c r="B51" s="338"/>
      <c r="C51" s="336"/>
      <c r="D51" s="271" t="s">
        <v>52</v>
      </c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69"/>
      <c r="Q51" s="269"/>
      <c r="R51" s="269"/>
      <c r="S51" s="269"/>
      <c r="T51" s="269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11">
        <f t="shared" si="0"/>
        <v>0</v>
      </c>
    </row>
    <row r="52" spans="2:36" ht="15.75" thickBot="1">
      <c r="B52" s="338"/>
      <c r="C52" s="336"/>
      <c r="D52" s="16" t="s">
        <v>17</v>
      </c>
      <c r="E52" s="17">
        <f>SUM(E49:E51)</f>
        <v>0</v>
      </c>
      <c r="F52" s="17">
        <f t="shared" ref="F52:AJ52" si="8">SUM(F49:F51)</f>
        <v>0</v>
      </c>
      <c r="G52" s="17">
        <f t="shared" si="8"/>
        <v>0</v>
      </c>
      <c r="H52" s="17">
        <f t="shared" si="8"/>
        <v>0</v>
      </c>
      <c r="I52" s="17">
        <f t="shared" si="8"/>
        <v>0</v>
      </c>
      <c r="J52" s="17">
        <f t="shared" si="8"/>
        <v>0</v>
      </c>
      <c r="K52" s="17">
        <f t="shared" si="8"/>
        <v>0</v>
      </c>
      <c r="L52" s="17">
        <f t="shared" si="8"/>
        <v>0</v>
      </c>
      <c r="M52" s="17">
        <f t="shared" si="8"/>
        <v>0</v>
      </c>
      <c r="N52" s="17">
        <f t="shared" si="8"/>
        <v>0</v>
      </c>
      <c r="O52" s="17">
        <f t="shared" si="8"/>
        <v>0</v>
      </c>
      <c r="P52" s="17">
        <f t="shared" si="8"/>
        <v>0</v>
      </c>
      <c r="Q52" s="17">
        <f t="shared" si="8"/>
        <v>0</v>
      </c>
      <c r="R52" s="17">
        <f t="shared" si="8"/>
        <v>0</v>
      </c>
      <c r="S52" s="17">
        <f t="shared" si="8"/>
        <v>0</v>
      </c>
      <c r="T52" s="17">
        <f t="shared" si="8"/>
        <v>0</v>
      </c>
      <c r="U52" s="17">
        <f t="shared" si="8"/>
        <v>0</v>
      </c>
      <c r="V52" s="17">
        <f t="shared" si="8"/>
        <v>0</v>
      </c>
      <c r="W52" s="17">
        <f t="shared" si="8"/>
        <v>0</v>
      </c>
      <c r="X52" s="17">
        <f t="shared" si="8"/>
        <v>0</v>
      </c>
      <c r="Y52" s="17">
        <f t="shared" si="8"/>
        <v>0</v>
      </c>
      <c r="Z52" s="17">
        <f t="shared" si="8"/>
        <v>0</v>
      </c>
      <c r="AA52" s="17">
        <f t="shared" si="8"/>
        <v>0</v>
      </c>
      <c r="AB52" s="17">
        <f t="shared" si="8"/>
        <v>0</v>
      </c>
      <c r="AC52" s="17">
        <f t="shared" si="8"/>
        <v>0</v>
      </c>
      <c r="AD52" s="17">
        <f t="shared" si="8"/>
        <v>0</v>
      </c>
      <c r="AE52" s="17">
        <f t="shared" si="8"/>
        <v>0</v>
      </c>
      <c r="AF52" s="17">
        <f t="shared" si="8"/>
        <v>0</v>
      </c>
      <c r="AG52" s="17">
        <f t="shared" si="8"/>
        <v>0</v>
      </c>
      <c r="AH52" s="17">
        <f t="shared" si="8"/>
        <v>0</v>
      </c>
      <c r="AI52" s="17">
        <f t="shared" si="8"/>
        <v>0</v>
      </c>
      <c r="AJ52" s="17">
        <f t="shared" si="8"/>
        <v>0</v>
      </c>
    </row>
    <row r="53" spans="2:36" ht="15.75" thickBot="1">
      <c r="B53" s="338"/>
      <c r="C53" s="336" t="s">
        <v>68</v>
      </c>
      <c r="D53" s="271" t="s">
        <v>69</v>
      </c>
      <c r="E53" s="269"/>
      <c r="F53" s="270"/>
      <c r="G53" s="270"/>
      <c r="H53" s="270"/>
      <c r="I53" s="270"/>
      <c r="J53" s="270"/>
      <c r="K53" s="270"/>
      <c r="L53" s="270"/>
      <c r="M53" s="270"/>
      <c r="N53" s="270"/>
      <c r="O53" s="270"/>
      <c r="P53" s="270"/>
      <c r="Q53" s="270"/>
      <c r="R53" s="270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  <c r="AC53" s="270"/>
      <c r="AD53" s="270"/>
      <c r="AE53" s="270"/>
      <c r="AF53" s="270"/>
      <c r="AG53" s="270"/>
      <c r="AH53" s="270"/>
      <c r="AI53" s="270"/>
      <c r="AJ53" s="11">
        <f t="shared" si="0"/>
        <v>0</v>
      </c>
    </row>
    <row r="54" spans="2:36" ht="15.75" thickBot="1">
      <c r="B54" s="338"/>
      <c r="C54" s="336"/>
      <c r="D54" s="271" t="s">
        <v>70</v>
      </c>
      <c r="E54" s="269"/>
      <c r="F54" s="270"/>
      <c r="G54" s="270"/>
      <c r="H54" s="270"/>
      <c r="I54" s="270"/>
      <c r="J54" s="270"/>
      <c r="K54" s="270"/>
      <c r="L54" s="270"/>
      <c r="M54" s="270"/>
      <c r="N54" s="270"/>
      <c r="O54" s="270"/>
      <c r="P54" s="270"/>
      <c r="Q54" s="270"/>
      <c r="R54" s="270"/>
      <c r="S54" s="270"/>
      <c r="T54" s="270"/>
      <c r="U54" s="270"/>
      <c r="V54" s="270"/>
      <c r="W54" s="270"/>
      <c r="X54" s="270"/>
      <c r="Y54" s="270"/>
      <c r="Z54" s="270"/>
      <c r="AA54" s="270"/>
      <c r="AB54" s="270"/>
      <c r="AC54" s="270"/>
      <c r="AD54" s="270"/>
      <c r="AE54" s="270"/>
      <c r="AF54" s="270"/>
      <c r="AG54" s="270"/>
      <c r="AH54" s="270"/>
      <c r="AI54" s="270"/>
      <c r="AJ54" s="11">
        <f t="shared" si="0"/>
        <v>0</v>
      </c>
    </row>
    <row r="55" spans="2:36" ht="15.75" thickBot="1">
      <c r="B55" s="338"/>
      <c r="C55" s="336"/>
      <c r="D55" s="271" t="s">
        <v>71</v>
      </c>
      <c r="E55" s="269"/>
      <c r="F55" s="270"/>
      <c r="G55" s="270"/>
      <c r="H55" s="270"/>
      <c r="I55" s="270"/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T55" s="270"/>
      <c r="U55" s="270"/>
      <c r="V55" s="270"/>
      <c r="W55" s="270"/>
      <c r="X55" s="270"/>
      <c r="Y55" s="270"/>
      <c r="Z55" s="270"/>
      <c r="AA55" s="270"/>
      <c r="AB55" s="270"/>
      <c r="AC55" s="270"/>
      <c r="AD55" s="270"/>
      <c r="AE55" s="270"/>
      <c r="AF55" s="270"/>
      <c r="AG55" s="270"/>
      <c r="AH55" s="270"/>
      <c r="AI55" s="270"/>
      <c r="AJ55" s="11">
        <f t="shared" si="0"/>
        <v>0</v>
      </c>
    </row>
    <row r="56" spans="2:36" ht="15.75" thickBot="1">
      <c r="B56" s="338"/>
      <c r="C56" s="336"/>
      <c r="D56" s="271" t="s">
        <v>52</v>
      </c>
      <c r="E56" s="269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269"/>
      <c r="Q56" s="269"/>
      <c r="R56" s="269"/>
      <c r="S56" s="269"/>
      <c r="T56" s="269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11">
        <f t="shared" si="0"/>
        <v>0</v>
      </c>
    </row>
    <row r="57" spans="2:36" ht="15.75" thickBot="1">
      <c r="B57" s="338"/>
      <c r="C57" s="336"/>
      <c r="D57" s="16" t="s">
        <v>17</v>
      </c>
      <c r="E57" s="17">
        <f>SUM(E53:E56)</f>
        <v>0</v>
      </c>
      <c r="F57" s="17">
        <f t="shared" ref="F57:AJ57" si="9">SUM(F53:F56)</f>
        <v>0</v>
      </c>
      <c r="G57" s="17">
        <f t="shared" si="9"/>
        <v>0</v>
      </c>
      <c r="H57" s="17">
        <f t="shared" si="9"/>
        <v>0</v>
      </c>
      <c r="I57" s="17">
        <f t="shared" si="9"/>
        <v>0</v>
      </c>
      <c r="J57" s="17">
        <f t="shared" si="9"/>
        <v>0</v>
      </c>
      <c r="K57" s="17">
        <f t="shared" si="9"/>
        <v>0</v>
      </c>
      <c r="L57" s="17">
        <f t="shared" si="9"/>
        <v>0</v>
      </c>
      <c r="M57" s="17">
        <f t="shared" si="9"/>
        <v>0</v>
      </c>
      <c r="N57" s="17">
        <f t="shared" si="9"/>
        <v>0</v>
      </c>
      <c r="O57" s="17">
        <f t="shared" si="9"/>
        <v>0</v>
      </c>
      <c r="P57" s="17">
        <f t="shared" si="9"/>
        <v>0</v>
      </c>
      <c r="Q57" s="17">
        <f t="shared" si="9"/>
        <v>0</v>
      </c>
      <c r="R57" s="17">
        <f t="shared" si="9"/>
        <v>0</v>
      </c>
      <c r="S57" s="17">
        <f t="shared" si="9"/>
        <v>0</v>
      </c>
      <c r="T57" s="17">
        <f t="shared" si="9"/>
        <v>0</v>
      </c>
      <c r="U57" s="17">
        <f t="shared" si="9"/>
        <v>0</v>
      </c>
      <c r="V57" s="17">
        <f t="shared" si="9"/>
        <v>0</v>
      </c>
      <c r="W57" s="17">
        <f t="shared" si="9"/>
        <v>0</v>
      </c>
      <c r="X57" s="17">
        <f t="shared" si="9"/>
        <v>0</v>
      </c>
      <c r="Y57" s="17">
        <f t="shared" si="9"/>
        <v>0</v>
      </c>
      <c r="Z57" s="17">
        <f t="shared" si="9"/>
        <v>0</v>
      </c>
      <c r="AA57" s="17">
        <f t="shared" si="9"/>
        <v>0</v>
      </c>
      <c r="AB57" s="17">
        <f t="shared" si="9"/>
        <v>0</v>
      </c>
      <c r="AC57" s="17">
        <f t="shared" si="9"/>
        <v>0</v>
      </c>
      <c r="AD57" s="17">
        <f t="shared" si="9"/>
        <v>0</v>
      </c>
      <c r="AE57" s="17">
        <f t="shared" si="9"/>
        <v>0</v>
      </c>
      <c r="AF57" s="17">
        <f t="shared" si="9"/>
        <v>0</v>
      </c>
      <c r="AG57" s="17">
        <f t="shared" si="9"/>
        <v>0</v>
      </c>
      <c r="AH57" s="17">
        <f t="shared" si="9"/>
        <v>0</v>
      </c>
      <c r="AI57" s="17">
        <f t="shared" si="9"/>
        <v>0</v>
      </c>
      <c r="AJ57" s="17">
        <f t="shared" si="9"/>
        <v>0</v>
      </c>
    </row>
    <row r="58" spans="2:36" ht="15.75" thickBot="1">
      <c r="B58" s="338"/>
      <c r="C58" s="336" t="s">
        <v>107</v>
      </c>
      <c r="D58" s="275" t="s">
        <v>88</v>
      </c>
      <c r="E58" s="269"/>
      <c r="F58" s="270"/>
      <c r="G58" s="270"/>
      <c r="H58" s="270"/>
      <c r="I58" s="270"/>
      <c r="J58" s="270"/>
      <c r="K58" s="270"/>
      <c r="L58" s="270"/>
      <c r="M58" s="270"/>
      <c r="N58" s="270"/>
      <c r="O58" s="270"/>
      <c r="P58" s="270"/>
      <c r="Q58" s="270"/>
      <c r="R58" s="270"/>
      <c r="S58" s="270"/>
      <c r="T58" s="270"/>
      <c r="U58" s="270"/>
      <c r="V58" s="270"/>
      <c r="W58" s="270"/>
      <c r="X58" s="270"/>
      <c r="Y58" s="270"/>
      <c r="Z58" s="270"/>
      <c r="AA58" s="270"/>
      <c r="AB58" s="270"/>
      <c r="AC58" s="270"/>
      <c r="AD58" s="270"/>
      <c r="AE58" s="270"/>
      <c r="AF58" s="270"/>
      <c r="AG58" s="270"/>
      <c r="AH58" s="270"/>
      <c r="AI58" s="270"/>
      <c r="AJ58" s="11">
        <f t="shared" si="0"/>
        <v>0</v>
      </c>
    </row>
    <row r="59" spans="2:36" ht="15.75" thickBot="1">
      <c r="B59" s="338"/>
      <c r="C59" s="336"/>
      <c r="D59" s="275" t="s">
        <v>89</v>
      </c>
      <c r="E59" s="269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  <c r="AC59" s="270"/>
      <c r="AD59" s="270"/>
      <c r="AE59" s="270"/>
      <c r="AF59" s="270"/>
      <c r="AG59" s="270"/>
      <c r="AH59" s="270"/>
      <c r="AI59" s="270"/>
      <c r="AJ59" s="11">
        <f t="shared" si="0"/>
        <v>0</v>
      </c>
    </row>
    <row r="60" spans="2:36" ht="15.75" thickBot="1">
      <c r="B60" s="338"/>
      <c r="C60" s="336"/>
      <c r="D60" s="275" t="s">
        <v>52</v>
      </c>
      <c r="E60" s="269"/>
      <c r="F60" s="269"/>
      <c r="G60" s="269"/>
      <c r="H60" s="269"/>
      <c r="I60" s="269"/>
      <c r="J60" s="269"/>
      <c r="K60" s="269"/>
      <c r="L60" s="269"/>
      <c r="M60" s="269"/>
      <c r="N60" s="269"/>
      <c r="O60" s="269"/>
      <c r="P60" s="269"/>
      <c r="Q60" s="269"/>
      <c r="R60" s="269"/>
      <c r="S60" s="269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11">
        <f t="shared" si="0"/>
        <v>0</v>
      </c>
    </row>
    <row r="61" spans="2:36" ht="15.75" thickBot="1">
      <c r="B61" s="338"/>
      <c r="C61" s="336"/>
      <c r="D61" s="18" t="s">
        <v>17</v>
      </c>
      <c r="E61" s="17">
        <f>SUM(E58:E60)</f>
        <v>0</v>
      </c>
      <c r="F61" s="17">
        <f t="shared" ref="F61:AJ61" si="10">SUM(F58:F60)</f>
        <v>0</v>
      </c>
      <c r="G61" s="17">
        <f t="shared" si="10"/>
        <v>0</v>
      </c>
      <c r="H61" s="17">
        <f t="shared" si="10"/>
        <v>0</v>
      </c>
      <c r="I61" s="17">
        <f t="shared" si="10"/>
        <v>0</v>
      </c>
      <c r="J61" s="17">
        <f t="shared" si="10"/>
        <v>0</v>
      </c>
      <c r="K61" s="17">
        <f t="shared" si="10"/>
        <v>0</v>
      </c>
      <c r="L61" s="17">
        <f t="shared" si="10"/>
        <v>0</v>
      </c>
      <c r="M61" s="17">
        <f t="shared" si="10"/>
        <v>0</v>
      </c>
      <c r="N61" s="17">
        <f t="shared" si="10"/>
        <v>0</v>
      </c>
      <c r="O61" s="17">
        <f t="shared" si="10"/>
        <v>0</v>
      </c>
      <c r="P61" s="17">
        <f t="shared" si="10"/>
        <v>0</v>
      </c>
      <c r="Q61" s="17">
        <f t="shared" si="10"/>
        <v>0</v>
      </c>
      <c r="R61" s="17">
        <f t="shared" si="10"/>
        <v>0</v>
      </c>
      <c r="S61" s="17">
        <f t="shared" si="10"/>
        <v>0</v>
      </c>
      <c r="T61" s="17">
        <f t="shared" si="10"/>
        <v>0</v>
      </c>
      <c r="U61" s="17">
        <f t="shared" si="10"/>
        <v>0</v>
      </c>
      <c r="V61" s="17">
        <f t="shared" si="10"/>
        <v>0</v>
      </c>
      <c r="W61" s="17">
        <f t="shared" si="10"/>
        <v>0</v>
      </c>
      <c r="X61" s="17">
        <f t="shared" si="10"/>
        <v>0</v>
      </c>
      <c r="Y61" s="17">
        <f t="shared" si="10"/>
        <v>0</v>
      </c>
      <c r="Z61" s="17">
        <f t="shared" si="10"/>
        <v>0</v>
      </c>
      <c r="AA61" s="17">
        <f t="shared" si="10"/>
        <v>0</v>
      </c>
      <c r="AB61" s="17">
        <f t="shared" si="10"/>
        <v>0</v>
      </c>
      <c r="AC61" s="17">
        <f t="shared" si="10"/>
        <v>0</v>
      </c>
      <c r="AD61" s="17">
        <f t="shared" si="10"/>
        <v>0</v>
      </c>
      <c r="AE61" s="17">
        <f t="shared" si="10"/>
        <v>0</v>
      </c>
      <c r="AF61" s="17">
        <f t="shared" si="10"/>
        <v>0</v>
      </c>
      <c r="AG61" s="17">
        <f t="shared" si="10"/>
        <v>0</v>
      </c>
      <c r="AH61" s="17">
        <f t="shared" si="10"/>
        <v>0</v>
      </c>
      <c r="AI61" s="17">
        <f t="shared" si="10"/>
        <v>0</v>
      </c>
      <c r="AJ61" s="17">
        <f t="shared" si="10"/>
        <v>0</v>
      </c>
    </row>
    <row r="62" spans="2:36" ht="15.75" thickBot="1">
      <c r="B62" s="338"/>
      <c r="C62" s="336" t="s">
        <v>72</v>
      </c>
      <c r="D62" s="275" t="s">
        <v>73</v>
      </c>
      <c r="E62" s="269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0"/>
      <c r="T62" s="270"/>
      <c r="U62" s="270"/>
      <c r="V62" s="270"/>
      <c r="W62" s="270"/>
      <c r="X62" s="270"/>
      <c r="Y62" s="270"/>
      <c r="Z62" s="270"/>
      <c r="AA62" s="270"/>
      <c r="AB62" s="270"/>
      <c r="AC62" s="270"/>
      <c r="AD62" s="270"/>
      <c r="AE62" s="270"/>
      <c r="AF62" s="270"/>
      <c r="AG62" s="270"/>
      <c r="AH62" s="270"/>
      <c r="AI62" s="270"/>
      <c r="AJ62" s="11">
        <f t="shared" si="0"/>
        <v>0</v>
      </c>
    </row>
    <row r="63" spans="2:36" ht="15.75" thickBot="1">
      <c r="B63" s="338"/>
      <c r="C63" s="336"/>
      <c r="D63" s="269" t="s">
        <v>56</v>
      </c>
      <c r="E63" s="270"/>
      <c r="F63" s="270"/>
      <c r="G63" s="270"/>
      <c r="H63" s="270"/>
      <c r="I63" s="270"/>
      <c r="J63" s="270"/>
      <c r="K63" s="270"/>
      <c r="L63" s="270"/>
      <c r="M63" s="270"/>
      <c r="N63" s="270"/>
      <c r="O63" s="270"/>
      <c r="P63" s="270"/>
      <c r="Q63" s="270"/>
      <c r="R63" s="270"/>
      <c r="S63" s="270"/>
      <c r="T63" s="270"/>
      <c r="U63" s="270"/>
      <c r="V63" s="270"/>
      <c r="W63" s="270"/>
      <c r="X63" s="270"/>
      <c r="Y63" s="270"/>
      <c r="Z63" s="270"/>
      <c r="AA63" s="270"/>
      <c r="AB63" s="270"/>
      <c r="AC63" s="270"/>
      <c r="AD63" s="270"/>
      <c r="AE63" s="270"/>
      <c r="AF63" s="270"/>
      <c r="AG63" s="270"/>
      <c r="AH63" s="270"/>
      <c r="AI63" s="270"/>
      <c r="AJ63" s="11">
        <f t="shared" si="0"/>
        <v>0</v>
      </c>
    </row>
    <row r="64" spans="2:36" ht="15.75" thickBot="1">
      <c r="B64" s="338"/>
      <c r="C64" s="336"/>
      <c r="D64" s="269" t="s">
        <v>52</v>
      </c>
      <c r="E64" s="270"/>
      <c r="F64" s="270"/>
      <c r="G64" s="270"/>
      <c r="H64" s="270"/>
      <c r="I64" s="270"/>
      <c r="J64" s="270"/>
      <c r="K64" s="270"/>
      <c r="L64" s="270"/>
      <c r="M64" s="270"/>
      <c r="N64" s="270"/>
      <c r="O64" s="270"/>
      <c r="P64" s="270"/>
      <c r="Q64" s="270"/>
      <c r="R64" s="270"/>
      <c r="S64" s="270"/>
      <c r="T64" s="270"/>
      <c r="U64" s="270"/>
      <c r="V64" s="270"/>
      <c r="W64" s="270"/>
      <c r="X64" s="270"/>
      <c r="Y64" s="270"/>
      <c r="Z64" s="270"/>
      <c r="AA64" s="270"/>
      <c r="AB64" s="270"/>
      <c r="AC64" s="270"/>
      <c r="AD64" s="270"/>
      <c r="AE64" s="270"/>
      <c r="AF64" s="270"/>
      <c r="AG64" s="270"/>
      <c r="AH64" s="270"/>
      <c r="AI64" s="270"/>
      <c r="AJ64" s="11">
        <f t="shared" si="0"/>
        <v>0</v>
      </c>
    </row>
    <row r="65" spans="2:36" ht="15.75" thickBot="1">
      <c r="B65" s="338"/>
      <c r="C65" s="336"/>
      <c r="D65" s="17" t="s">
        <v>17</v>
      </c>
      <c r="E65" s="19">
        <f>SUM(E62:E64)</f>
        <v>0</v>
      </c>
      <c r="F65" s="19">
        <f t="shared" ref="F65:AJ65" si="11">SUM(F62:F64)</f>
        <v>0</v>
      </c>
      <c r="G65" s="19">
        <f t="shared" si="11"/>
        <v>0</v>
      </c>
      <c r="H65" s="19">
        <f t="shared" si="11"/>
        <v>0</v>
      </c>
      <c r="I65" s="19">
        <f t="shared" si="11"/>
        <v>0</v>
      </c>
      <c r="J65" s="19">
        <f t="shared" si="11"/>
        <v>0</v>
      </c>
      <c r="K65" s="19">
        <f t="shared" si="11"/>
        <v>0</v>
      </c>
      <c r="L65" s="19">
        <f t="shared" si="11"/>
        <v>0</v>
      </c>
      <c r="M65" s="19">
        <f t="shared" si="11"/>
        <v>0</v>
      </c>
      <c r="N65" s="19">
        <f t="shared" si="11"/>
        <v>0</v>
      </c>
      <c r="O65" s="19">
        <f t="shared" si="11"/>
        <v>0</v>
      </c>
      <c r="P65" s="19">
        <f t="shared" si="11"/>
        <v>0</v>
      </c>
      <c r="Q65" s="19">
        <f t="shared" si="11"/>
        <v>0</v>
      </c>
      <c r="R65" s="19">
        <f t="shared" si="11"/>
        <v>0</v>
      </c>
      <c r="S65" s="19">
        <f t="shared" si="11"/>
        <v>0</v>
      </c>
      <c r="T65" s="19">
        <f t="shared" si="11"/>
        <v>0</v>
      </c>
      <c r="U65" s="19">
        <f t="shared" si="11"/>
        <v>0</v>
      </c>
      <c r="V65" s="19">
        <f t="shared" si="11"/>
        <v>0</v>
      </c>
      <c r="W65" s="19">
        <f t="shared" si="11"/>
        <v>0</v>
      </c>
      <c r="X65" s="19">
        <f t="shared" si="11"/>
        <v>0</v>
      </c>
      <c r="Y65" s="19">
        <f t="shared" si="11"/>
        <v>0</v>
      </c>
      <c r="Z65" s="19">
        <f t="shared" si="11"/>
        <v>0</v>
      </c>
      <c r="AA65" s="19">
        <f t="shared" si="11"/>
        <v>0</v>
      </c>
      <c r="AB65" s="19">
        <f t="shared" si="11"/>
        <v>0</v>
      </c>
      <c r="AC65" s="19">
        <f t="shared" si="11"/>
        <v>0</v>
      </c>
      <c r="AD65" s="19">
        <f t="shared" si="11"/>
        <v>0</v>
      </c>
      <c r="AE65" s="19">
        <f t="shared" si="11"/>
        <v>0</v>
      </c>
      <c r="AF65" s="19">
        <f t="shared" si="11"/>
        <v>0</v>
      </c>
      <c r="AG65" s="19">
        <f t="shared" si="11"/>
        <v>0</v>
      </c>
      <c r="AH65" s="19">
        <f t="shared" si="11"/>
        <v>0</v>
      </c>
      <c r="AI65" s="19">
        <f t="shared" si="11"/>
        <v>0</v>
      </c>
      <c r="AJ65" s="19">
        <f t="shared" si="11"/>
        <v>0</v>
      </c>
    </row>
    <row r="66" spans="2:36">
      <c r="B66" s="5"/>
      <c r="C66" s="5"/>
      <c r="D66" s="14" t="s">
        <v>104</v>
      </c>
      <c r="E66" s="14">
        <f t="shared" ref="E66:AI66" si="12">SUM(E13,E23,E27,E32,E36,E44,E48,E52,E57,E61,E65)</f>
        <v>0</v>
      </c>
      <c r="F66" s="14">
        <f t="shared" si="12"/>
        <v>0</v>
      </c>
      <c r="G66" s="14">
        <f t="shared" si="12"/>
        <v>0</v>
      </c>
      <c r="H66" s="14">
        <f t="shared" si="12"/>
        <v>0</v>
      </c>
      <c r="I66" s="14">
        <f t="shared" si="12"/>
        <v>0</v>
      </c>
      <c r="J66" s="14">
        <f t="shared" si="12"/>
        <v>0</v>
      </c>
      <c r="K66" s="14">
        <f t="shared" si="12"/>
        <v>0</v>
      </c>
      <c r="L66" s="14">
        <f t="shared" si="12"/>
        <v>0</v>
      </c>
      <c r="M66" s="14">
        <f t="shared" si="12"/>
        <v>0</v>
      </c>
      <c r="N66" s="14">
        <f t="shared" si="12"/>
        <v>0</v>
      </c>
      <c r="O66" s="14">
        <f t="shared" si="12"/>
        <v>0</v>
      </c>
      <c r="P66" s="14">
        <f t="shared" si="12"/>
        <v>0</v>
      </c>
      <c r="Q66" s="14">
        <f t="shared" si="12"/>
        <v>0</v>
      </c>
      <c r="R66" s="14">
        <f t="shared" si="12"/>
        <v>0</v>
      </c>
      <c r="S66" s="14">
        <f t="shared" si="12"/>
        <v>0</v>
      </c>
      <c r="T66" s="14">
        <f t="shared" si="12"/>
        <v>0</v>
      </c>
      <c r="U66" s="14">
        <f t="shared" si="12"/>
        <v>0</v>
      </c>
      <c r="V66" s="14">
        <f t="shared" si="12"/>
        <v>0</v>
      </c>
      <c r="W66" s="14">
        <f t="shared" si="12"/>
        <v>0</v>
      </c>
      <c r="X66" s="14">
        <f t="shared" si="12"/>
        <v>0</v>
      </c>
      <c r="Y66" s="14">
        <f t="shared" si="12"/>
        <v>0</v>
      </c>
      <c r="Z66" s="14">
        <f t="shared" si="12"/>
        <v>0</v>
      </c>
      <c r="AA66" s="14">
        <f t="shared" si="12"/>
        <v>0</v>
      </c>
      <c r="AB66" s="14">
        <f t="shared" si="12"/>
        <v>0</v>
      </c>
      <c r="AC66" s="14">
        <f t="shared" si="12"/>
        <v>0</v>
      </c>
      <c r="AD66" s="14">
        <f t="shared" si="12"/>
        <v>0</v>
      </c>
      <c r="AE66" s="14">
        <f t="shared" si="12"/>
        <v>0</v>
      </c>
      <c r="AF66" s="14">
        <f t="shared" si="12"/>
        <v>0</v>
      </c>
      <c r="AG66" s="14">
        <f t="shared" si="12"/>
        <v>0</v>
      </c>
      <c r="AH66" s="14">
        <f t="shared" si="12"/>
        <v>0</v>
      </c>
      <c r="AI66" s="14">
        <f t="shared" si="12"/>
        <v>0</v>
      </c>
      <c r="AJ66" s="27">
        <f t="shared" si="0"/>
        <v>0</v>
      </c>
    </row>
  </sheetData>
  <mergeCells count="13">
    <mergeCell ref="B2:AJ2"/>
    <mergeCell ref="B5:B65"/>
    <mergeCell ref="C37:C44"/>
    <mergeCell ref="C45:C48"/>
    <mergeCell ref="C49:C52"/>
    <mergeCell ref="C53:C57"/>
    <mergeCell ref="C58:C61"/>
    <mergeCell ref="C62:C65"/>
    <mergeCell ref="C5:C13"/>
    <mergeCell ref="C14:C23"/>
    <mergeCell ref="C24:C27"/>
    <mergeCell ref="C28:C32"/>
    <mergeCell ref="C33:C36"/>
  </mergeCells>
  <conditionalFormatting sqref="E28:AI31 E33:AI35 E37:AI43 E45:AI47 E49:AI51 E53:AI56 E58:AI60 E62:AI64">
    <cfRule type="notContainsBlanks" dxfId="17" priority="3">
      <formula>LEN(TRIM(E28))&gt;0</formula>
    </cfRule>
  </conditionalFormatting>
  <conditionalFormatting sqref="D5:D12 D14:D22 D24:D26 D28:D31 D33:D35 D37:D43 D45:D47 D49:D51 D53:D56 D58:D60 D62:D64">
    <cfRule type="notContainsBlanks" dxfId="16" priority="2">
      <formula>LEN(TRIM(D5))&gt;0</formula>
    </cfRule>
  </conditionalFormatting>
  <conditionalFormatting sqref="E5:AI12 E14:AI22 E24:AI26">
    <cfRule type="notContainsBlanks" dxfId="15" priority="1">
      <formula>LEN(TRIM(E5))&gt;0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3"/>
  <dimension ref="B1:AJ66"/>
  <sheetViews>
    <sheetView showGridLines="0" showRowColHeaders="0"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2" max="2" width="18.5703125" customWidth="1"/>
    <col min="3" max="3" width="18.28515625" bestFit="1" customWidth="1"/>
    <col min="4" max="4" width="19.7109375" bestFit="1" customWidth="1"/>
    <col min="5" max="35" width="12.5703125" bestFit="1" customWidth="1"/>
    <col min="36" max="36" width="13.5703125" bestFit="1" customWidth="1"/>
  </cols>
  <sheetData>
    <row r="1" spans="2:36" ht="15.75" thickBot="1"/>
    <row r="2" spans="2:36" ht="34.5" customHeight="1" thickBot="1">
      <c r="B2" s="340" t="s">
        <v>7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</row>
    <row r="4" spans="2:36" ht="15.75" thickBot="1">
      <c r="B4" s="4"/>
      <c r="C4" s="5"/>
      <c r="D4" s="12" t="s">
        <v>57</v>
      </c>
      <c r="E4" s="13">
        <v>1</v>
      </c>
      <c r="F4" s="13">
        <v>2</v>
      </c>
      <c r="G4" s="13">
        <v>3</v>
      </c>
      <c r="H4" s="13">
        <v>4</v>
      </c>
      <c r="I4" s="13">
        <v>5</v>
      </c>
      <c r="J4" s="13">
        <v>6</v>
      </c>
      <c r="K4" s="13">
        <v>7</v>
      </c>
      <c r="L4" s="13">
        <v>8</v>
      </c>
      <c r="M4" s="13">
        <v>9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17</v>
      </c>
      <c r="V4" s="13">
        <v>18</v>
      </c>
      <c r="W4" s="13">
        <v>19</v>
      </c>
      <c r="X4" s="13">
        <v>20</v>
      </c>
      <c r="Y4" s="13">
        <v>21</v>
      </c>
      <c r="Z4" s="13">
        <v>22</v>
      </c>
      <c r="AA4" s="13">
        <v>23</v>
      </c>
      <c r="AB4" s="13">
        <v>24</v>
      </c>
      <c r="AC4" s="13">
        <v>25</v>
      </c>
      <c r="AD4" s="13">
        <v>26</v>
      </c>
      <c r="AE4" s="13">
        <v>27</v>
      </c>
      <c r="AF4" s="13">
        <v>28</v>
      </c>
      <c r="AG4" s="13">
        <v>29</v>
      </c>
      <c r="AH4" s="13">
        <v>30</v>
      </c>
      <c r="AI4" s="13">
        <v>31</v>
      </c>
      <c r="AJ4" s="27" t="s">
        <v>103</v>
      </c>
    </row>
    <row r="5" spans="2:36" ht="15.75" thickBot="1">
      <c r="B5" s="338" t="s">
        <v>127</v>
      </c>
      <c r="C5" s="336" t="s">
        <v>25</v>
      </c>
      <c r="D5" s="268" t="s">
        <v>30</v>
      </c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11">
        <f>SUM(E5:AI5)</f>
        <v>0</v>
      </c>
    </row>
    <row r="6" spans="2:36" ht="15.75" thickBot="1">
      <c r="B6" s="338"/>
      <c r="C6" s="336"/>
      <c r="D6" s="271" t="s">
        <v>26</v>
      </c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11">
        <f t="shared" ref="AJ6:AJ66" si="0">SUM(E6:AI6)</f>
        <v>0</v>
      </c>
    </row>
    <row r="7" spans="2:36" ht="15.75" thickBot="1">
      <c r="B7" s="338"/>
      <c r="C7" s="336"/>
      <c r="D7" s="271" t="s">
        <v>29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11">
        <f t="shared" si="0"/>
        <v>0</v>
      </c>
    </row>
    <row r="8" spans="2:36" ht="15.75" thickBot="1">
      <c r="B8" s="338"/>
      <c r="C8" s="336"/>
      <c r="D8" s="271" t="s">
        <v>27</v>
      </c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11">
        <f t="shared" si="0"/>
        <v>0</v>
      </c>
    </row>
    <row r="9" spans="2:36" ht="15.75" thickBot="1">
      <c r="B9" s="338"/>
      <c r="C9" s="336"/>
      <c r="D9" s="271" t="s">
        <v>28</v>
      </c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11">
        <f t="shared" si="0"/>
        <v>0</v>
      </c>
    </row>
    <row r="10" spans="2:36" ht="15.75" thickBot="1">
      <c r="B10" s="338"/>
      <c r="C10" s="336"/>
      <c r="D10" s="272" t="s">
        <v>86</v>
      </c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11">
        <f t="shared" si="0"/>
        <v>0</v>
      </c>
    </row>
    <row r="11" spans="2:36" ht="15.75" thickBot="1">
      <c r="B11" s="338"/>
      <c r="C11" s="336"/>
      <c r="D11" s="272" t="s">
        <v>87</v>
      </c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11">
        <f t="shared" si="0"/>
        <v>0</v>
      </c>
    </row>
    <row r="12" spans="2:36" ht="15.75" thickBot="1">
      <c r="B12" s="338"/>
      <c r="C12" s="336"/>
      <c r="D12" s="272" t="s">
        <v>52</v>
      </c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11">
        <f t="shared" si="0"/>
        <v>0</v>
      </c>
    </row>
    <row r="13" spans="2:36" ht="15.75" thickBot="1">
      <c r="B13" s="338"/>
      <c r="C13" s="336"/>
      <c r="D13" s="20" t="s">
        <v>17</v>
      </c>
      <c r="E13" s="21">
        <f>SUM(E5:E12)</f>
        <v>0</v>
      </c>
      <c r="F13" s="21">
        <f>SUM(F5:F12)</f>
        <v>0</v>
      </c>
      <c r="G13" s="21">
        <f>SUM(G5:G12)</f>
        <v>0</v>
      </c>
      <c r="H13" s="21">
        <f t="shared" ref="H13:AJ13" si="1">SUM(H5:H12)</f>
        <v>0</v>
      </c>
      <c r="I13" s="21">
        <f t="shared" si="1"/>
        <v>0</v>
      </c>
      <c r="J13" s="21">
        <f t="shared" si="1"/>
        <v>0</v>
      </c>
      <c r="K13" s="21">
        <f t="shared" si="1"/>
        <v>0</v>
      </c>
      <c r="L13" s="21">
        <f t="shared" si="1"/>
        <v>0</v>
      </c>
      <c r="M13" s="21">
        <f t="shared" si="1"/>
        <v>0</v>
      </c>
      <c r="N13" s="21">
        <f t="shared" si="1"/>
        <v>0</v>
      </c>
      <c r="O13" s="21">
        <f t="shared" si="1"/>
        <v>0</v>
      </c>
      <c r="P13" s="21">
        <f t="shared" si="1"/>
        <v>0</v>
      </c>
      <c r="Q13" s="21">
        <f t="shared" si="1"/>
        <v>0</v>
      </c>
      <c r="R13" s="21">
        <f t="shared" si="1"/>
        <v>0</v>
      </c>
      <c r="S13" s="21">
        <f t="shared" si="1"/>
        <v>0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21">
        <f t="shared" si="1"/>
        <v>0</v>
      </c>
      <c r="AG13" s="21">
        <f t="shared" si="1"/>
        <v>0</v>
      </c>
      <c r="AH13" s="21">
        <f t="shared" si="1"/>
        <v>0</v>
      </c>
      <c r="AI13" s="21">
        <f t="shared" si="1"/>
        <v>0</v>
      </c>
      <c r="AJ13" s="21">
        <f t="shared" si="1"/>
        <v>0</v>
      </c>
    </row>
    <row r="14" spans="2:36" ht="15.75" thickBot="1">
      <c r="B14" s="338"/>
      <c r="C14" s="336" t="s">
        <v>23</v>
      </c>
      <c r="D14" s="273" t="s">
        <v>31</v>
      </c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11">
        <f t="shared" si="0"/>
        <v>0</v>
      </c>
    </row>
    <row r="15" spans="2:36" ht="15.75" thickBot="1">
      <c r="B15" s="338"/>
      <c r="C15" s="336"/>
      <c r="D15" s="271" t="s">
        <v>32</v>
      </c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11">
        <f t="shared" si="0"/>
        <v>0</v>
      </c>
    </row>
    <row r="16" spans="2:36" ht="15.75" thickBot="1">
      <c r="B16" s="338"/>
      <c r="C16" s="336"/>
      <c r="D16" s="271" t="s">
        <v>33</v>
      </c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11">
        <f t="shared" si="0"/>
        <v>0</v>
      </c>
    </row>
    <row r="17" spans="2:36" ht="15.75" thickBot="1">
      <c r="B17" s="338"/>
      <c r="C17" s="336"/>
      <c r="D17" s="271" t="s">
        <v>54</v>
      </c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  <c r="AJ17" s="11">
        <f t="shared" si="0"/>
        <v>0</v>
      </c>
    </row>
    <row r="18" spans="2:36" ht="15.75" thickBot="1">
      <c r="B18" s="338"/>
      <c r="C18" s="336"/>
      <c r="D18" s="271" t="s">
        <v>55</v>
      </c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  <c r="AJ18" s="11">
        <f t="shared" si="0"/>
        <v>0</v>
      </c>
    </row>
    <row r="19" spans="2:36" ht="15.75" thickBot="1">
      <c r="B19" s="338"/>
      <c r="C19" s="336"/>
      <c r="D19" s="271" t="s">
        <v>38</v>
      </c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  <c r="AF19" s="269"/>
      <c r="AG19" s="269"/>
      <c r="AH19" s="269"/>
      <c r="AI19" s="269"/>
      <c r="AJ19" s="11">
        <f t="shared" si="0"/>
        <v>0</v>
      </c>
    </row>
    <row r="20" spans="2:36" ht="15.75" thickBot="1">
      <c r="B20" s="338"/>
      <c r="C20" s="336"/>
      <c r="D20" s="271" t="s">
        <v>37</v>
      </c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  <c r="AF20" s="269"/>
      <c r="AG20" s="269"/>
      <c r="AH20" s="269"/>
      <c r="AI20" s="269"/>
      <c r="AJ20" s="11">
        <f t="shared" si="0"/>
        <v>0</v>
      </c>
    </row>
    <row r="21" spans="2:36" ht="15.75" thickBot="1">
      <c r="B21" s="338"/>
      <c r="C21" s="336"/>
      <c r="D21" s="271" t="s">
        <v>75</v>
      </c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  <c r="AF21" s="269"/>
      <c r="AG21" s="269"/>
      <c r="AH21" s="269"/>
      <c r="AI21" s="269"/>
      <c r="AJ21" s="11">
        <f t="shared" si="0"/>
        <v>0</v>
      </c>
    </row>
    <row r="22" spans="2:36" ht="15.75" thickBot="1">
      <c r="B22" s="338"/>
      <c r="C22" s="336"/>
      <c r="D22" s="271" t="s">
        <v>52</v>
      </c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  <c r="AF22" s="269"/>
      <c r="AG22" s="269"/>
      <c r="AH22" s="269"/>
      <c r="AI22" s="269"/>
      <c r="AJ22" s="11">
        <f t="shared" si="0"/>
        <v>0</v>
      </c>
    </row>
    <row r="23" spans="2:36" ht="15.75" thickBot="1">
      <c r="B23" s="338"/>
      <c r="C23" s="336"/>
      <c r="D23" s="22" t="s">
        <v>17</v>
      </c>
      <c r="E23" s="21">
        <f>SUM(E14:E22)</f>
        <v>0</v>
      </c>
      <c r="F23" s="21">
        <f>SUM(F14:F22)</f>
        <v>0</v>
      </c>
      <c r="G23" s="21">
        <f t="shared" ref="G23:AJ23" si="2">SUM(G14:G22)</f>
        <v>0</v>
      </c>
      <c r="H23" s="21">
        <f t="shared" si="2"/>
        <v>0</v>
      </c>
      <c r="I23" s="21">
        <f t="shared" si="2"/>
        <v>0</v>
      </c>
      <c r="J23" s="21">
        <f t="shared" si="2"/>
        <v>0</v>
      </c>
      <c r="K23" s="21">
        <f t="shared" si="2"/>
        <v>0</v>
      </c>
      <c r="L23" s="21">
        <f t="shared" si="2"/>
        <v>0</v>
      </c>
      <c r="M23" s="21">
        <f t="shared" si="2"/>
        <v>0</v>
      </c>
      <c r="N23" s="21">
        <f t="shared" si="2"/>
        <v>0</v>
      </c>
      <c r="O23" s="21">
        <f t="shared" si="2"/>
        <v>0</v>
      </c>
      <c r="P23" s="21">
        <f t="shared" si="2"/>
        <v>0</v>
      </c>
      <c r="Q23" s="21">
        <f t="shared" si="2"/>
        <v>0</v>
      </c>
      <c r="R23" s="21">
        <f t="shared" si="2"/>
        <v>0</v>
      </c>
      <c r="S23" s="21">
        <f t="shared" si="2"/>
        <v>0</v>
      </c>
      <c r="T23" s="21">
        <f t="shared" si="2"/>
        <v>0</v>
      </c>
      <c r="U23" s="21">
        <f t="shared" si="2"/>
        <v>0</v>
      </c>
      <c r="V23" s="21">
        <f t="shared" si="2"/>
        <v>0</v>
      </c>
      <c r="W23" s="21">
        <f t="shared" si="2"/>
        <v>0</v>
      </c>
      <c r="X23" s="21">
        <f t="shared" si="2"/>
        <v>0</v>
      </c>
      <c r="Y23" s="21">
        <f t="shared" si="2"/>
        <v>0</v>
      </c>
      <c r="Z23" s="21">
        <f t="shared" si="2"/>
        <v>0</v>
      </c>
      <c r="AA23" s="21">
        <f t="shared" si="2"/>
        <v>0</v>
      </c>
      <c r="AB23" s="21">
        <f t="shared" si="2"/>
        <v>0</v>
      </c>
      <c r="AC23" s="21">
        <f t="shared" si="2"/>
        <v>0</v>
      </c>
      <c r="AD23" s="21">
        <f t="shared" si="2"/>
        <v>0</v>
      </c>
      <c r="AE23" s="21">
        <f t="shared" si="2"/>
        <v>0</v>
      </c>
      <c r="AF23" s="21">
        <f t="shared" si="2"/>
        <v>0</v>
      </c>
      <c r="AG23" s="21">
        <f t="shared" si="2"/>
        <v>0</v>
      </c>
      <c r="AH23" s="21">
        <f t="shared" si="2"/>
        <v>0</v>
      </c>
      <c r="AI23" s="21">
        <f t="shared" si="2"/>
        <v>0</v>
      </c>
      <c r="AJ23" s="21">
        <f t="shared" si="2"/>
        <v>0</v>
      </c>
    </row>
    <row r="24" spans="2:36" ht="15.75" thickBot="1">
      <c r="B24" s="338"/>
      <c r="C24" s="336" t="s">
        <v>39</v>
      </c>
      <c r="D24" s="271" t="s">
        <v>40</v>
      </c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  <c r="AF24" s="269"/>
      <c r="AG24" s="269"/>
      <c r="AH24" s="269"/>
      <c r="AI24" s="269"/>
      <c r="AJ24" s="11">
        <f t="shared" si="0"/>
        <v>0</v>
      </c>
    </row>
    <row r="25" spans="2:36" ht="15.75" thickBot="1">
      <c r="B25" s="338"/>
      <c r="C25" s="336"/>
      <c r="D25" s="271" t="s">
        <v>41</v>
      </c>
      <c r="E25" s="269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  <c r="AF25" s="269"/>
      <c r="AG25" s="269"/>
      <c r="AH25" s="269"/>
      <c r="AI25" s="269"/>
      <c r="AJ25" s="11">
        <f t="shared" si="0"/>
        <v>0</v>
      </c>
    </row>
    <row r="26" spans="2:36" ht="15.75" thickBot="1">
      <c r="B26" s="338"/>
      <c r="C26" s="336"/>
      <c r="D26" s="271" t="s">
        <v>52</v>
      </c>
      <c r="E26" s="269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  <c r="AF26" s="269"/>
      <c r="AG26" s="269"/>
      <c r="AH26" s="269"/>
      <c r="AI26" s="269"/>
      <c r="AJ26" s="11">
        <f t="shared" si="0"/>
        <v>0</v>
      </c>
    </row>
    <row r="27" spans="2:36" ht="15.75" thickBot="1">
      <c r="B27" s="338"/>
      <c r="C27" s="336"/>
      <c r="D27" s="16" t="s">
        <v>17</v>
      </c>
      <c r="E27" s="17">
        <f>SUM(E24:E26)</f>
        <v>0</v>
      </c>
      <c r="F27" s="17">
        <f>SUM(F24:F26)</f>
        <v>0</v>
      </c>
      <c r="G27" s="17">
        <f t="shared" ref="G27:AJ27" si="3">SUM(G24:G26)</f>
        <v>0</v>
      </c>
      <c r="H27" s="17">
        <f t="shared" si="3"/>
        <v>0</v>
      </c>
      <c r="I27" s="17">
        <f t="shared" si="3"/>
        <v>0</v>
      </c>
      <c r="J27" s="17">
        <f t="shared" si="3"/>
        <v>0</v>
      </c>
      <c r="K27" s="17">
        <f t="shared" si="3"/>
        <v>0</v>
      </c>
      <c r="L27" s="17">
        <f t="shared" si="3"/>
        <v>0</v>
      </c>
      <c r="M27" s="17">
        <f t="shared" si="3"/>
        <v>0</v>
      </c>
      <c r="N27" s="17">
        <f t="shared" si="3"/>
        <v>0</v>
      </c>
      <c r="O27" s="17">
        <f t="shared" si="3"/>
        <v>0</v>
      </c>
      <c r="P27" s="17">
        <f t="shared" si="3"/>
        <v>0</v>
      </c>
      <c r="Q27" s="17">
        <f t="shared" si="3"/>
        <v>0</v>
      </c>
      <c r="R27" s="17">
        <f t="shared" si="3"/>
        <v>0</v>
      </c>
      <c r="S27" s="17">
        <f t="shared" si="3"/>
        <v>0</v>
      </c>
      <c r="T27" s="17">
        <f t="shared" si="3"/>
        <v>0</v>
      </c>
      <c r="U27" s="17">
        <f t="shared" si="3"/>
        <v>0</v>
      </c>
      <c r="V27" s="17">
        <f t="shared" si="3"/>
        <v>0</v>
      </c>
      <c r="W27" s="17">
        <f t="shared" si="3"/>
        <v>0</v>
      </c>
      <c r="X27" s="17">
        <f t="shared" si="3"/>
        <v>0</v>
      </c>
      <c r="Y27" s="17">
        <f t="shared" si="3"/>
        <v>0</v>
      </c>
      <c r="Z27" s="17">
        <f t="shared" si="3"/>
        <v>0</v>
      </c>
      <c r="AA27" s="17">
        <f t="shared" si="3"/>
        <v>0</v>
      </c>
      <c r="AB27" s="17">
        <f t="shared" si="3"/>
        <v>0</v>
      </c>
      <c r="AC27" s="17">
        <f t="shared" si="3"/>
        <v>0</v>
      </c>
      <c r="AD27" s="17">
        <f t="shared" si="3"/>
        <v>0</v>
      </c>
      <c r="AE27" s="17">
        <f t="shared" si="3"/>
        <v>0</v>
      </c>
      <c r="AF27" s="17">
        <f t="shared" si="3"/>
        <v>0</v>
      </c>
      <c r="AG27" s="17">
        <f t="shared" si="3"/>
        <v>0</v>
      </c>
      <c r="AH27" s="17">
        <f t="shared" si="3"/>
        <v>0</v>
      </c>
      <c r="AI27" s="17">
        <f t="shared" si="3"/>
        <v>0</v>
      </c>
      <c r="AJ27" s="17">
        <f t="shared" si="3"/>
        <v>0</v>
      </c>
    </row>
    <row r="28" spans="2:36" ht="15.75" thickBot="1">
      <c r="B28" s="338"/>
      <c r="C28" s="336" t="s">
        <v>45</v>
      </c>
      <c r="D28" s="271" t="s">
        <v>79</v>
      </c>
      <c r="E28" s="269"/>
      <c r="F28" s="270"/>
      <c r="G28" s="270"/>
      <c r="H28" s="270"/>
      <c r="I28" s="270"/>
      <c r="J28" s="270"/>
      <c r="K28" s="270"/>
      <c r="L28" s="270"/>
      <c r="M28" s="270"/>
      <c r="N28" s="270"/>
      <c r="O28" s="270"/>
      <c r="P28" s="270"/>
      <c r="Q28" s="270"/>
      <c r="R28" s="270"/>
      <c r="S28" s="270"/>
      <c r="T28" s="270"/>
      <c r="U28" s="270"/>
      <c r="V28" s="270"/>
      <c r="W28" s="270"/>
      <c r="X28" s="270"/>
      <c r="Y28" s="270"/>
      <c r="Z28" s="270"/>
      <c r="AA28" s="270"/>
      <c r="AB28" s="270"/>
      <c r="AC28" s="270"/>
      <c r="AD28" s="270"/>
      <c r="AE28" s="270"/>
      <c r="AF28" s="270"/>
      <c r="AG28" s="270"/>
      <c r="AH28" s="270"/>
      <c r="AI28" s="270"/>
      <c r="AJ28" s="11">
        <f t="shared" si="0"/>
        <v>0</v>
      </c>
    </row>
    <row r="29" spans="2:36" ht="15.75" thickBot="1">
      <c r="B29" s="338"/>
      <c r="C29" s="336"/>
      <c r="D29" s="271" t="s">
        <v>78</v>
      </c>
      <c r="E29" s="269"/>
      <c r="F29" s="270"/>
      <c r="G29" s="270"/>
      <c r="H29" s="270"/>
      <c r="I29" s="270"/>
      <c r="J29" s="270"/>
      <c r="K29" s="270"/>
      <c r="L29" s="270"/>
      <c r="M29" s="270"/>
      <c r="N29" s="270"/>
      <c r="O29" s="270"/>
      <c r="P29" s="270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11">
        <f t="shared" si="0"/>
        <v>0</v>
      </c>
    </row>
    <row r="30" spans="2:36" ht="15.75" thickBot="1">
      <c r="B30" s="338"/>
      <c r="C30" s="336"/>
      <c r="D30" s="271" t="s">
        <v>48</v>
      </c>
      <c r="E30" s="269"/>
      <c r="F30" s="270"/>
      <c r="G30" s="270"/>
      <c r="H30" s="270"/>
      <c r="I30" s="270"/>
      <c r="J30" s="270"/>
      <c r="K30" s="270"/>
      <c r="L30" s="270"/>
      <c r="M30" s="270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11">
        <f t="shared" si="0"/>
        <v>0</v>
      </c>
    </row>
    <row r="31" spans="2:36" ht="15.75" thickBot="1">
      <c r="B31" s="338"/>
      <c r="C31" s="336"/>
      <c r="D31" s="271" t="s">
        <v>52</v>
      </c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11">
        <f t="shared" si="0"/>
        <v>0</v>
      </c>
    </row>
    <row r="32" spans="2:36" ht="15.75" thickBot="1">
      <c r="B32" s="338"/>
      <c r="C32" s="336"/>
      <c r="D32" s="16" t="s">
        <v>17</v>
      </c>
      <c r="E32" s="17">
        <f>SUM(E28:E31)</f>
        <v>0</v>
      </c>
      <c r="F32" s="17">
        <f>SUM(F28:F31)</f>
        <v>0</v>
      </c>
      <c r="G32" s="17">
        <f t="shared" ref="G32:AJ32" si="4">SUM(G28:G31)</f>
        <v>0</v>
      </c>
      <c r="H32" s="17">
        <f t="shared" si="4"/>
        <v>0</v>
      </c>
      <c r="I32" s="17">
        <f t="shared" si="4"/>
        <v>0</v>
      </c>
      <c r="J32" s="17">
        <f t="shared" si="4"/>
        <v>0</v>
      </c>
      <c r="K32" s="17">
        <f t="shared" si="4"/>
        <v>0</v>
      </c>
      <c r="L32" s="17">
        <f t="shared" si="4"/>
        <v>0</v>
      </c>
      <c r="M32" s="17">
        <f t="shared" si="4"/>
        <v>0</v>
      </c>
      <c r="N32" s="17">
        <f t="shared" si="4"/>
        <v>0</v>
      </c>
      <c r="O32" s="17">
        <f t="shared" si="4"/>
        <v>0</v>
      </c>
      <c r="P32" s="17">
        <f t="shared" si="4"/>
        <v>0</v>
      </c>
      <c r="Q32" s="17">
        <f t="shared" si="4"/>
        <v>0</v>
      </c>
      <c r="R32" s="17">
        <f t="shared" si="4"/>
        <v>0</v>
      </c>
      <c r="S32" s="17">
        <f t="shared" si="4"/>
        <v>0</v>
      </c>
      <c r="T32" s="17">
        <f t="shared" si="4"/>
        <v>0</v>
      </c>
      <c r="U32" s="17">
        <f t="shared" si="4"/>
        <v>0</v>
      </c>
      <c r="V32" s="17">
        <f t="shared" si="4"/>
        <v>0</v>
      </c>
      <c r="W32" s="17">
        <f t="shared" si="4"/>
        <v>0</v>
      </c>
      <c r="X32" s="17">
        <f t="shared" si="4"/>
        <v>0</v>
      </c>
      <c r="Y32" s="17">
        <f t="shared" si="4"/>
        <v>0</v>
      </c>
      <c r="Z32" s="17">
        <f t="shared" si="4"/>
        <v>0</v>
      </c>
      <c r="AA32" s="17">
        <f t="shared" si="4"/>
        <v>0</v>
      </c>
      <c r="AB32" s="17">
        <f t="shared" si="4"/>
        <v>0</v>
      </c>
      <c r="AC32" s="17">
        <f t="shared" si="4"/>
        <v>0</v>
      </c>
      <c r="AD32" s="17">
        <f t="shared" si="4"/>
        <v>0</v>
      </c>
      <c r="AE32" s="17">
        <f t="shared" si="4"/>
        <v>0</v>
      </c>
      <c r="AF32" s="17">
        <f t="shared" si="4"/>
        <v>0</v>
      </c>
      <c r="AG32" s="17">
        <f t="shared" si="4"/>
        <v>0</v>
      </c>
      <c r="AH32" s="17">
        <f t="shared" si="4"/>
        <v>0</v>
      </c>
      <c r="AI32" s="17">
        <f t="shared" si="4"/>
        <v>0</v>
      </c>
      <c r="AJ32" s="17">
        <f t="shared" si="4"/>
        <v>0</v>
      </c>
    </row>
    <row r="33" spans="2:36" ht="15.75" thickBot="1">
      <c r="B33" s="338"/>
      <c r="C33" s="336" t="s">
        <v>22</v>
      </c>
      <c r="D33" s="271" t="s">
        <v>34</v>
      </c>
      <c r="E33" s="269"/>
      <c r="F33" s="270"/>
      <c r="G33" s="270"/>
      <c r="H33" s="270"/>
      <c r="I33" s="270"/>
      <c r="J33" s="270"/>
      <c r="K33" s="270"/>
      <c r="L33" s="270"/>
      <c r="M33" s="270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11">
        <f t="shared" si="0"/>
        <v>0</v>
      </c>
    </row>
    <row r="34" spans="2:36" ht="15.75" thickBot="1">
      <c r="B34" s="338"/>
      <c r="C34" s="336"/>
      <c r="D34" s="271" t="s">
        <v>35</v>
      </c>
      <c r="E34" s="269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11">
        <f t="shared" si="0"/>
        <v>0</v>
      </c>
    </row>
    <row r="35" spans="2:36" ht="15.75" thickBot="1">
      <c r="B35" s="338"/>
      <c r="C35" s="336"/>
      <c r="D35" s="271" t="s">
        <v>52</v>
      </c>
      <c r="E35" s="269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11">
        <f t="shared" si="0"/>
        <v>0</v>
      </c>
    </row>
    <row r="36" spans="2:36" ht="15.75" thickBot="1">
      <c r="B36" s="338"/>
      <c r="C36" s="336"/>
      <c r="D36" s="16" t="s">
        <v>17</v>
      </c>
      <c r="E36" s="17">
        <f>SUM(E33:E35)</f>
        <v>0</v>
      </c>
      <c r="F36" s="17">
        <f>SUM(F33:F35)</f>
        <v>0</v>
      </c>
      <c r="G36" s="17">
        <f t="shared" ref="G36:AJ36" si="5">SUM(G33:G35)</f>
        <v>0</v>
      </c>
      <c r="H36" s="17">
        <f t="shared" si="5"/>
        <v>0</v>
      </c>
      <c r="I36" s="17">
        <f t="shared" si="5"/>
        <v>0</v>
      </c>
      <c r="J36" s="17">
        <f t="shared" si="5"/>
        <v>0</v>
      </c>
      <c r="K36" s="17">
        <f t="shared" si="5"/>
        <v>0</v>
      </c>
      <c r="L36" s="17">
        <f t="shared" si="5"/>
        <v>0</v>
      </c>
      <c r="M36" s="17">
        <f t="shared" si="5"/>
        <v>0</v>
      </c>
      <c r="N36" s="17">
        <f t="shared" si="5"/>
        <v>0</v>
      </c>
      <c r="O36" s="17">
        <f t="shared" si="5"/>
        <v>0</v>
      </c>
      <c r="P36" s="17">
        <f t="shared" si="5"/>
        <v>0</v>
      </c>
      <c r="Q36" s="17">
        <f t="shared" si="5"/>
        <v>0</v>
      </c>
      <c r="R36" s="17">
        <f t="shared" si="5"/>
        <v>0</v>
      </c>
      <c r="S36" s="17">
        <f t="shared" si="5"/>
        <v>0</v>
      </c>
      <c r="T36" s="17">
        <f t="shared" si="5"/>
        <v>0</v>
      </c>
      <c r="U36" s="17">
        <f t="shared" si="5"/>
        <v>0</v>
      </c>
      <c r="V36" s="17">
        <f t="shared" si="5"/>
        <v>0</v>
      </c>
      <c r="W36" s="17">
        <f t="shared" si="5"/>
        <v>0</v>
      </c>
      <c r="X36" s="17">
        <f t="shared" si="5"/>
        <v>0</v>
      </c>
      <c r="Y36" s="17">
        <f t="shared" si="5"/>
        <v>0</v>
      </c>
      <c r="Z36" s="17">
        <f t="shared" si="5"/>
        <v>0</v>
      </c>
      <c r="AA36" s="17">
        <f t="shared" si="5"/>
        <v>0</v>
      </c>
      <c r="AB36" s="17">
        <f t="shared" si="5"/>
        <v>0</v>
      </c>
      <c r="AC36" s="17">
        <f t="shared" si="5"/>
        <v>0</v>
      </c>
      <c r="AD36" s="17">
        <f t="shared" si="5"/>
        <v>0</v>
      </c>
      <c r="AE36" s="17">
        <f t="shared" si="5"/>
        <v>0</v>
      </c>
      <c r="AF36" s="17">
        <f t="shared" si="5"/>
        <v>0</v>
      </c>
      <c r="AG36" s="17">
        <f t="shared" si="5"/>
        <v>0</v>
      </c>
      <c r="AH36" s="17">
        <f t="shared" si="5"/>
        <v>0</v>
      </c>
      <c r="AI36" s="17">
        <f t="shared" si="5"/>
        <v>0</v>
      </c>
      <c r="AJ36" s="17">
        <f t="shared" si="5"/>
        <v>0</v>
      </c>
    </row>
    <row r="37" spans="2:36" ht="15.75" thickBot="1">
      <c r="B37" s="338"/>
      <c r="C37" s="336" t="s">
        <v>58</v>
      </c>
      <c r="D37" s="274" t="s">
        <v>91</v>
      </c>
      <c r="E37" s="269"/>
      <c r="F37" s="270"/>
      <c r="G37" s="270"/>
      <c r="H37" s="270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11">
        <f t="shared" si="0"/>
        <v>0</v>
      </c>
    </row>
    <row r="38" spans="2:36" ht="15.75" thickBot="1">
      <c r="B38" s="338"/>
      <c r="C38" s="336"/>
      <c r="D38" s="271" t="s">
        <v>60</v>
      </c>
      <c r="E38" s="269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  <c r="AC38" s="270"/>
      <c r="AD38" s="270"/>
      <c r="AE38" s="270"/>
      <c r="AF38" s="270"/>
      <c r="AG38" s="270"/>
      <c r="AH38" s="270"/>
      <c r="AI38" s="270"/>
      <c r="AJ38" s="11">
        <f t="shared" si="0"/>
        <v>0</v>
      </c>
    </row>
    <row r="39" spans="2:36" ht="15.75" thickBot="1">
      <c r="B39" s="338"/>
      <c r="C39" s="336"/>
      <c r="D39" s="271" t="s">
        <v>61</v>
      </c>
      <c r="E39" s="269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0"/>
      <c r="AH39" s="270"/>
      <c r="AI39" s="270"/>
      <c r="AJ39" s="11">
        <f t="shared" si="0"/>
        <v>0</v>
      </c>
    </row>
    <row r="40" spans="2:36" ht="15.75" thickBot="1">
      <c r="B40" s="338"/>
      <c r="C40" s="336"/>
      <c r="D40" s="271" t="s">
        <v>62</v>
      </c>
      <c r="E40" s="269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270"/>
      <c r="V40" s="270"/>
      <c r="W40" s="270"/>
      <c r="X40" s="270"/>
      <c r="Y40" s="270"/>
      <c r="Z40" s="270"/>
      <c r="AA40" s="270"/>
      <c r="AB40" s="270"/>
      <c r="AC40" s="270"/>
      <c r="AD40" s="270"/>
      <c r="AE40" s="270"/>
      <c r="AF40" s="270"/>
      <c r="AG40" s="270"/>
      <c r="AH40" s="270"/>
      <c r="AI40" s="270"/>
      <c r="AJ40" s="11">
        <f t="shared" si="0"/>
        <v>0</v>
      </c>
    </row>
    <row r="41" spans="2:36" ht="15.75" thickBot="1">
      <c r="B41" s="338"/>
      <c r="C41" s="336"/>
      <c r="D41" s="271" t="s">
        <v>81</v>
      </c>
      <c r="E41" s="269"/>
      <c r="F41" s="270"/>
      <c r="G41" s="270"/>
      <c r="H41" s="270"/>
      <c r="I41" s="270"/>
      <c r="J41" s="270"/>
      <c r="K41" s="270"/>
      <c r="L41" s="270"/>
      <c r="M41" s="270"/>
      <c r="N41" s="270"/>
      <c r="O41" s="270"/>
      <c r="P41" s="270"/>
      <c r="Q41" s="27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  <c r="AC41" s="270"/>
      <c r="AD41" s="270"/>
      <c r="AE41" s="270"/>
      <c r="AF41" s="270"/>
      <c r="AG41" s="270"/>
      <c r="AH41" s="270"/>
      <c r="AI41" s="270"/>
      <c r="AJ41" s="11">
        <f t="shared" si="0"/>
        <v>0</v>
      </c>
    </row>
    <row r="42" spans="2:36" ht="15.75" thickBot="1">
      <c r="B42" s="338"/>
      <c r="C42" s="336"/>
      <c r="D42" s="271" t="s">
        <v>110</v>
      </c>
      <c r="E42" s="269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11">
        <f t="shared" si="0"/>
        <v>0</v>
      </c>
    </row>
    <row r="43" spans="2:36" ht="15.75" thickBot="1">
      <c r="B43" s="338"/>
      <c r="C43" s="336"/>
      <c r="D43" s="271" t="s">
        <v>52</v>
      </c>
      <c r="E43" s="269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69"/>
      <c r="Q43" s="269"/>
      <c r="R43" s="269"/>
      <c r="S43" s="269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11">
        <f t="shared" si="0"/>
        <v>0</v>
      </c>
    </row>
    <row r="44" spans="2:36" ht="15.75" thickBot="1">
      <c r="B44" s="338"/>
      <c r="C44" s="336"/>
      <c r="D44" s="16" t="s">
        <v>17</v>
      </c>
      <c r="E44" s="17">
        <f>SUM(E37:E43)</f>
        <v>0</v>
      </c>
      <c r="F44" s="17">
        <f>SUM(F37:F43)</f>
        <v>0</v>
      </c>
      <c r="G44" s="17">
        <f t="shared" ref="G44:AJ44" si="6">SUM(G37:G43)</f>
        <v>0</v>
      </c>
      <c r="H44" s="17">
        <f t="shared" si="6"/>
        <v>0</v>
      </c>
      <c r="I44" s="17">
        <f t="shared" si="6"/>
        <v>0</v>
      </c>
      <c r="J44" s="17">
        <f t="shared" si="6"/>
        <v>0</v>
      </c>
      <c r="K44" s="17">
        <f t="shared" si="6"/>
        <v>0</v>
      </c>
      <c r="L44" s="17">
        <f t="shared" si="6"/>
        <v>0</v>
      </c>
      <c r="M44" s="17">
        <f t="shared" si="6"/>
        <v>0</v>
      </c>
      <c r="N44" s="17">
        <f t="shared" si="6"/>
        <v>0</v>
      </c>
      <c r="O44" s="17">
        <f t="shared" si="6"/>
        <v>0</v>
      </c>
      <c r="P44" s="17">
        <f t="shared" si="6"/>
        <v>0</v>
      </c>
      <c r="Q44" s="17">
        <f t="shared" si="6"/>
        <v>0</v>
      </c>
      <c r="R44" s="17">
        <f t="shared" si="6"/>
        <v>0</v>
      </c>
      <c r="S44" s="17">
        <f t="shared" si="6"/>
        <v>0</v>
      </c>
      <c r="T44" s="17">
        <f t="shared" si="6"/>
        <v>0</v>
      </c>
      <c r="U44" s="17">
        <f t="shared" si="6"/>
        <v>0</v>
      </c>
      <c r="V44" s="17">
        <f t="shared" si="6"/>
        <v>0</v>
      </c>
      <c r="W44" s="17">
        <f t="shared" si="6"/>
        <v>0</v>
      </c>
      <c r="X44" s="17">
        <f t="shared" si="6"/>
        <v>0</v>
      </c>
      <c r="Y44" s="17">
        <f t="shared" si="6"/>
        <v>0</v>
      </c>
      <c r="Z44" s="17">
        <f t="shared" si="6"/>
        <v>0</v>
      </c>
      <c r="AA44" s="17">
        <f t="shared" si="6"/>
        <v>0</v>
      </c>
      <c r="AB44" s="17">
        <f t="shared" si="6"/>
        <v>0</v>
      </c>
      <c r="AC44" s="17">
        <f t="shared" si="6"/>
        <v>0</v>
      </c>
      <c r="AD44" s="17">
        <f t="shared" si="6"/>
        <v>0</v>
      </c>
      <c r="AE44" s="17">
        <f t="shared" si="6"/>
        <v>0</v>
      </c>
      <c r="AF44" s="17">
        <f t="shared" si="6"/>
        <v>0</v>
      </c>
      <c r="AG44" s="17">
        <f t="shared" si="6"/>
        <v>0</v>
      </c>
      <c r="AH44" s="17">
        <f t="shared" si="6"/>
        <v>0</v>
      </c>
      <c r="AI44" s="17">
        <f t="shared" si="6"/>
        <v>0</v>
      </c>
      <c r="AJ44" s="17">
        <f t="shared" si="6"/>
        <v>0</v>
      </c>
    </row>
    <row r="45" spans="2:36" ht="15.75" thickBot="1">
      <c r="B45" s="338"/>
      <c r="C45" s="336" t="s">
        <v>36</v>
      </c>
      <c r="D45" s="271" t="s">
        <v>63</v>
      </c>
      <c r="E45" s="269"/>
      <c r="F45" s="270"/>
      <c r="G45" s="270"/>
      <c r="H45" s="270"/>
      <c r="I45" s="270"/>
      <c r="J45" s="270"/>
      <c r="K45" s="270"/>
      <c r="L45" s="270"/>
      <c r="M45" s="270"/>
      <c r="N45" s="270"/>
      <c r="O45" s="270"/>
      <c r="P45" s="270"/>
      <c r="Q45" s="270"/>
      <c r="R45" s="270"/>
      <c r="S45" s="270"/>
      <c r="T45" s="270"/>
      <c r="U45" s="270"/>
      <c r="V45" s="270"/>
      <c r="W45" s="270"/>
      <c r="X45" s="270"/>
      <c r="Y45" s="270"/>
      <c r="Z45" s="270"/>
      <c r="AA45" s="270"/>
      <c r="AB45" s="270"/>
      <c r="AC45" s="270"/>
      <c r="AD45" s="270"/>
      <c r="AE45" s="270"/>
      <c r="AF45" s="270"/>
      <c r="AG45" s="270"/>
      <c r="AH45" s="270"/>
      <c r="AI45" s="270"/>
      <c r="AJ45" s="11">
        <f t="shared" si="0"/>
        <v>0</v>
      </c>
    </row>
    <row r="46" spans="2:36" ht="15.75" thickBot="1">
      <c r="B46" s="338"/>
      <c r="C46" s="336"/>
      <c r="D46" s="271" t="s">
        <v>64</v>
      </c>
      <c r="E46" s="269"/>
      <c r="F46" s="270"/>
      <c r="G46" s="270"/>
      <c r="H46" s="270"/>
      <c r="I46" s="270"/>
      <c r="J46" s="270"/>
      <c r="K46" s="270"/>
      <c r="L46" s="270"/>
      <c r="M46" s="270"/>
      <c r="N46" s="270"/>
      <c r="O46" s="270"/>
      <c r="P46" s="270"/>
      <c r="Q46" s="270"/>
      <c r="R46" s="270"/>
      <c r="S46" s="270"/>
      <c r="T46" s="270"/>
      <c r="U46" s="270"/>
      <c r="V46" s="270"/>
      <c r="W46" s="270"/>
      <c r="X46" s="270"/>
      <c r="Y46" s="270"/>
      <c r="Z46" s="270"/>
      <c r="AA46" s="270"/>
      <c r="AB46" s="270"/>
      <c r="AC46" s="270"/>
      <c r="AD46" s="270"/>
      <c r="AE46" s="270"/>
      <c r="AF46" s="270"/>
      <c r="AG46" s="270"/>
      <c r="AH46" s="270"/>
      <c r="AI46" s="270"/>
      <c r="AJ46" s="11">
        <f t="shared" si="0"/>
        <v>0</v>
      </c>
    </row>
    <row r="47" spans="2:36" ht="15.75" thickBot="1">
      <c r="B47" s="338"/>
      <c r="C47" s="336"/>
      <c r="D47" s="271" t="s">
        <v>52</v>
      </c>
      <c r="E47" s="269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69"/>
      <c r="S47" s="269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11">
        <f t="shared" si="0"/>
        <v>0</v>
      </c>
    </row>
    <row r="48" spans="2:36" ht="15.75" thickBot="1">
      <c r="B48" s="338"/>
      <c r="C48" s="336"/>
      <c r="D48" s="16" t="s">
        <v>17</v>
      </c>
      <c r="E48" s="17">
        <f>SUM(E45:E47)</f>
        <v>0</v>
      </c>
      <c r="F48" s="17">
        <f>SUM(F45:F47)</f>
        <v>0</v>
      </c>
      <c r="G48" s="17">
        <f t="shared" ref="G48:AJ48" si="7">SUM(G45:G47)</f>
        <v>0</v>
      </c>
      <c r="H48" s="17">
        <f t="shared" si="7"/>
        <v>0</v>
      </c>
      <c r="I48" s="17">
        <f t="shared" si="7"/>
        <v>0</v>
      </c>
      <c r="J48" s="17">
        <f t="shared" si="7"/>
        <v>0</v>
      </c>
      <c r="K48" s="17">
        <f t="shared" si="7"/>
        <v>0</v>
      </c>
      <c r="L48" s="17">
        <f t="shared" si="7"/>
        <v>0</v>
      </c>
      <c r="M48" s="17">
        <f t="shared" si="7"/>
        <v>0</v>
      </c>
      <c r="N48" s="17">
        <f t="shared" si="7"/>
        <v>0</v>
      </c>
      <c r="O48" s="17">
        <f t="shared" si="7"/>
        <v>0</v>
      </c>
      <c r="P48" s="17">
        <f t="shared" si="7"/>
        <v>0</v>
      </c>
      <c r="Q48" s="17">
        <f t="shared" si="7"/>
        <v>0</v>
      </c>
      <c r="R48" s="17">
        <f t="shared" si="7"/>
        <v>0</v>
      </c>
      <c r="S48" s="17">
        <f t="shared" si="7"/>
        <v>0</v>
      </c>
      <c r="T48" s="17">
        <f t="shared" si="7"/>
        <v>0</v>
      </c>
      <c r="U48" s="17">
        <f t="shared" si="7"/>
        <v>0</v>
      </c>
      <c r="V48" s="17">
        <f t="shared" si="7"/>
        <v>0</v>
      </c>
      <c r="W48" s="17">
        <f t="shared" si="7"/>
        <v>0</v>
      </c>
      <c r="X48" s="17">
        <f t="shared" si="7"/>
        <v>0</v>
      </c>
      <c r="Y48" s="17">
        <f t="shared" si="7"/>
        <v>0</v>
      </c>
      <c r="Z48" s="17">
        <f t="shared" si="7"/>
        <v>0</v>
      </c>
      <c r="AA48" s="17">
        <f t="shared" si="7"/>
        <v>0</v>
      </c>
      <c r="AB48" s="17">
        <f t="shared" si="7"/>
        <v>0</v>
      </c>
      <c r="AC48" s="17">
        <f t="shared" si="7"/>
        <v>0</v>
      </c>
      <c r="AD48" s="17">
        <f t="shared" si="7"/>
        <v>0</v>
      </c>
      <c r="AE48" s="17">
        <f t="shared" si="7"/>
        <v>0</v>
      </c>
      <c r="AF48" s="17">
        <f t="shared" si="7"/>
        <v>0</v>
      </c>
      <c r="AG48" s="17">
        <f t="shared" si="7"/>
        <v>0</v>
      </c>
      <c r="AH48" s="17">
        <f t="shared" si="7"/>
        <v>0</v>
      </c>
      <c r="AI48" s="17">
        <f t="shared" si="7"/>
        <v>0</v>
      </c>
      <c r="AJ48" s="17">
        <f t="shared" si="7"/>
        <v>0</v>
      </c>
    </row>
    <row r="49" spans="2:36" ht="15.75" thickBot="1">
      <c r="B49" s="338"/>
      <c r="C49" s="336" t="s">
        <v>65</v>
      </c>
      <c r="D49" s="271" t="s">
        <v>66</v>
      </c>
      <c r="E49" s="269"/>
      <c r="F49" s="270"/>
      <c r="G49" s="270"/>
      <c r="H49" s="270"/>
      <c r="I49" s="270"/>
      <c r="J49" s="270"/>
      <c r="K49" s="270"/>
      <c r="L49" s="270"/>
      <c r="M49" s="270"/>
      <c r="N49" s="270"/>
      <c r="O49" s="270"/>
      <c r="P49" s="270"/>
      <c r="Q49" s="270"/>
      <c r="R49" s="270"/>
      <c r="S49" s="270"/>
      <c r="T49" s="270"/>
      <c r="U49" s="270"/>
      <c r="V49" s="270"/>
      <c r="W49" s="270"/>
      <c r="X49" s="270"/>
      <c r="Y49" s="270"/>
      <c r="Z49" s="270"/>
      <c r="AA49" s="270"/>
      <c r="AB49" s="270"/>
      <c r="AC49" s="270"/>
      <c r="AD49" s="270"/>
      <c r="AE49" s="270"/>
      <c r="AF49" s="270"/>
      <c r="AG49" s="270"/>
      <c r="AH49" s="270"/>
      <c r="AI49" s="270"/>
      <c r="AJ49" s="11">
        <f t="shared" si="0"/>
        <v>0</v>
      </c>
    </row>
    <row r="50" spans="2:36" ht="15.75" thickBot="1">
      <c r="B50" s="338"/>
      <c r="C50" s="336"/>
      <c r="D50" s="271" t="s">
        <v>67</v>
      </c>
      <c r="E50" s="269"/>
      <c r="F50" s="270"/>
      <c r="G50" s="270"/>
      <c r="H50" s="270"/>
      <c r="I50" s="270"/>
      <c r="J50" s="270"/>
      <c r="K50" s="270"/>
      <c r="L50" s="270"/>
      <c r="M50" s="270"/>
      <c r="N50" s="270"/>
      <c r="O50" s="270"/>
      <c r="P50" s="270"/>
      <c r="Q50" s="270"/>
      <c r="R50" s="270"/>
      <c r="S50" s="270"/>
      <c r="T50" s="270"/>
      <c r="U50" s="270"/>
      <c r="V50" s="270"/>
      <c r="W50" s="270"/>
      <c r="X50" s="270"/>
      <c r="Y50" s="270"/>
      <c r="Z50" s="270"/>
      <c r="AA50" s="270"/>
      <c r="AB50" s="270"/>
      <c r="AC50" s="270"/>
      <c r="AD50" s="270"/>
      <c r="AE50" s="270"/>
      <c r="AF50" s="270"/>
      <c r="AG50" s="270"/>
      <c r="AH50" s="270"/>
      <c r="AI50" s="270"/>
      <c r="AJ50" s="11">
        <f t="shared" si="0"/>
        <v>0</v>
      </c>
    </row>
    <row r="51" spans="2:36" ht="15.75" thickBot="1">
      <c r="B51" s="338"/>
      <c r="C51" s="336"/>
      <c r="D51" s="271" t="s">
        <v>52</v>
      </c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69"/>
      <c r="Q51" s="269"/>
      <c r="R51" s="269"/>
      <c r="S51" s="269"/>
      <c r="T51" s="269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11">
        <f t="shared" si="0"/>
        <v>0</v>
      </c>
    </row>
    <row r="52" spans="2:36" ht="15.75" thickBot="1">
      <c r="B52" s="338"/>
      <c r="C52" s="336"/>
      <c r="D52" s="16" t="s">
        <v>17</v>
      </c>
      <c r="E52" s="17">
        <f>SUM(E49:E51)</f>
        <v>0</v>
      </c>
      <c r="F52" s="17">
        <f t="shared" ref="F52:AJ52" si="8">SUM(F49:F51)</f>
        <v>0</v>
      </c>
      <c r="G52" s="17">
        <f t="shared" si="8"/>
        <v>0</v>
      </c>
      <c r="H52" s="17">
        <f t="shared" si="8"/>
        <v>0</v>
      </c>
      <c r="I52" s="17">
        <f t="shared" si="8"/>
        <v>0</v>
      </c>
      <c r="J52" s="17">
        <f t="shared" si="8"/>
        <v>0</v>
      </c>
      <c r="K52" s="17">
        <f t="shared" si="8"/>
        <v>0</v>
      </c>
      <c r="L52" s="17">
        <f t="shared" si="8"/>
        <v>0</v>
      </c>
      <c r="M52" s="17">
        <f t="shared" si="8"/>
        <v>0</v>
      </c>
      <c r="N52" s="17">
        <f t="shared" si="8"/>
        <v>0</v>
      </c>
      <c r="O52" s="17">
        <f t="shared" si="8"/>
        <v>0</v>
      </c>
      <c r="P52" s="17">
        <f t="shared" si="8"/>
        <v>0</v>
      </c>
      <c r="Q52" s="17">
        <f t="shared" si="8"/>
        <v>0</v>
      </c>
      <c r="R52" s="17">
        <f t="shared" si="8"/>
        <v>0</v>
      </c>
      <c r="S52" s="17">
        <f t="shared" si="8"/>
        <v>0</v>
      </c>
      <c r="T52" s="17">
        <f t="shared" si="8"/>
        <v>0</v>
      </c>
      <c r="U52" s="17">
        <f t="shared" si="8"/>
        <v>0</v>
      </c>
      <c r="V52" s="17">
        <f t="shared" si="8"/>
        <v>0</v>
      </c>
      <c r="W52" s="17">
        <f t="shared" si="8"/>
        <v>0</v>
      </c>
      <c r="X52" s="17">
        <f t="shared" si="8"/>
        <v>0</v>
      </c>
      <c r="Y52" s="17">
        <f t="shared" si="8"/>
        <v>0</v>
      </c>
      <c r="Z52" s="17">
        <f t="shared" si="8"/>
        <v>0</v>
      </c>
      <c r="AA52" s="17">
        <f t="shared" si="8"/>
        <v>0</v>
      </c>
      <c r="AB52" s="17">
        <f t="shared" si="8"/>
        <v>0</v>
      </c>
      <c r="AC52" s="17">
        <f t="shared" si="8"/>
        <v>0</v>
      </c>
      <c r="AD52" s="17">
        <f t="shared" si="8"/>
        <v>0</v>
      </c>
      <c r="AE52" s="17">
        <f t="shared" si="8"/>
        <v>0</v>
      </c>
      <c r="AF52" s="17">
        <f t="shared" si="8"/>
        <v>0</v>
      </c>
      <c r="AG52" s="17">
        <f t="shared" si="8"/>
        <v>0</v>
      </c>
      <c r="AH52" s="17">
        <f t="shared" si="8"/>
        <v>0</v>
      </c>
      <c r="AI52" s="17">
        <f t="shared" si="8"/>
        <v>0</v>
      </c>
      <c r="AJ52" s="17">
        <f t="shared" si="8"/>
        <v>0</v>
      </c>
    </row>
    <row r="53" spans="2:36" ht="15.75" thickBot="1">
      <c r="B53" s="338"/>
      <c r="C53" s="336" t="s">
        <v>68</v>
      </c>
      <c r="D53" s="271" t="s">
        <v>69</v>
      </c>
      <c r="E53" s="269"/>
      <c r="F53" s="270"/>
      <c r="G53" s="270"/>
      <c r="H53" s="270"/>
      <c r="I53" s="270"/>
      <c r="J53" s="270"/>
      <c r="K53" s="270"/>
      <c r="L53" s="270"/>
      <c r="M53" s="270"/>
      <c r="N53" s="270"/>
      <c r="O53" s="270"/>
      <c r="P53" s="270"/>
      <c r="Q53" s="270"/>
      <c r="R53" s="270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  <c r="AC53" s="270"/>
      <c r="AD53" s="270"/>
      <c r="AE53" s="270"/>
      <c r="AF53" s="270"/>
      <c r="AG53" s="270"/>
      <c r="AH53" s="270"/>
      <c r="AI53" s="270"/>
      <c r="AJ53" s="11">
        <f t="shared" si="0"/>
        <v>0</v>
      </c>
    </row>
    <row r="54" spans="2:36" ht="15.75" thickBot="1">
      <c r="B54" s="338"/>
      <c r="C54" s="336"/>
      <c r="D54" s="271" t="s">
        <v>70</v>
      </c>
      <c r="E54" s="269"/>
      <c r="F54" s="270"/>
      <c r="G54" s="270"/>
      <c r="H54" s="270"/>
      <c r="I54" s="270"/>
      <c r="J54" s="270"/>
      <c r="K54" s="270"/>
      <c r="L54" s="270"/>
      <c r="M54" s="270"/>
      <c r="N54" s="270"/>
      <c r="O54" s="270"/>
      <c r="P54" s="270"/>
      <c r="Q54" s="270"/>
      <c r="R54" s="270"/>
      <c r="S54" s="270"/>
      <c r="T54" s="270"/>
      <c r="U54" s="270"/>
      <c r="V54" s="270"/>
      <c r="W54" s="270"/>
      <c r="X54" s="270"/>
      <c r="Y54" s="270"/>
      <c r="Z54" s="270"/>
      <c r="AA54" s="270"/>
      <c r="AB54" s="270"/>
      <c r="AC54" s="270"/>
      <c r="AD54" s="270"/>
      <c r="AE54" s="270"/>
      <c r="AF54" s="270"/>
      <c r="AG54" s="270"/>
      <c r="AH54" s="270"/>
      <c r="AI54" s="270"/>
      <c r="AJ54" s="11">
        <f t="shared" si="0"/>
        <v>0</v>
      </c>
    </row>
    <row r="55" spans="2:36" ht="15.75" thickBot="1">
      <c r="B55" s="338"/>
      <c r="C55" s="336"/>
      <c r="D55" s="271" t="s">
        <v>71</v>
      </c>
      <c r="E55" s="269"/>
      <c r="F55" s="270"/>
      <c r="G55" s="270"/>
      <c r="H55" s="270"/>
      <c r="I55" s="270"/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T55" s="270"/>
      <c r="U55" s="270"/>
      <c r="V55" s="270"/>
      <c r="W55" s="270"/>
      <c r="X55" s="270"/>
      <c r="Y55" s="270"/>
      <c r="Z55" s="270"/>
      <c r="AA55" s="270"/>
      <c r="AB55" s="270"/>
      <c r="AC55" s="270"/>
      <c r="AD55" s="270"/>
      <c r="AE55" s="270"/>
      <c r="AF55" s="270"/>
      <c r="AG55" s="270"/>
      <c r="AH55" s="270"/>
      <c r="AI55" s="270"/>
      <c r="AJ55" s="11">
        <f t="shared" si="0"/>
        <v>0</v>
      </c>
    </row>
    <row r="56" spans="2:36" ht="15.75" thickBot="1">
      <c r="B56" s="338"/>
      <c r="C56" s="336"/>
      <c r="D56" s="271" t="s">
        <v>52</v>
      </c>
      <c r="E56" s="269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269"/>
      <c r="Q56" s="269"/>
      <c r="R56" s="269"/>
      <c r="S56" s="269"/>
      <c r="T56" s="269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11">
        <f t="shared" si="0"/>
        <v>0</v>
      </c>
    </row>
    <row r="57" spans="2:36" ht="15.75" thickBot="1">
      <c r="B57" s="338"/>
      <c r="C57" s="336"/>
      <c r="D57" s="16" t="s">
        <v>17</v>
      </c>
      <c r="E57" s="17">
        <f>SUM(E53:E56)</f>
        <v>0</v>
      </c>
      <c r="F57" s="17">
        <f t="shared" ref="F57:AJ57" si="9">SUM(F53:F56)</f>
        <v>0</v>
      </c>
      <c r="G57" s="17">
        <f t="shared" si="9"/>
        <v>0</v>
      </c>
      <c r="H57" s="17">
        <f t="shared" si="9"/>
        <v>0</v>
      </c>
      <c r="I57" s="17">
        <f t="shared" si="9"/>
        <v>0</v>
      </c>
      <c r="J57" s="17">
        <f t="shared" si="9"/>
        <v>0</v>
      </c>
      <c r="K57" s="17">
        <f t="shared" si="9"/>
        <v>0</v>
      </c>
      <c r="L57" s="17">
        <f t="shared" si="9"/>
        <v>0</v>
      </c>
      <c r="M57" s="17">
        <f t="shared" si="9"/>
        <v>0</v>
      </c>
      <c r="N57" s="17">
        <f t="shared" si="9"/>
        <v>0</v>
      </c>
      <c r="O57" s="17">
        <f t="shared" si="9"/>
        <v>0</v>
      </c>
      <c r="P57" s="17">
        <f t="shared" si="9"/>
        <v>0</v>
      </c>
      <c r="Q57" s="17">
        <f t="shared" si="9"/>
        <v>0</v>
      </c>
      <c r="R57" s="17">
        <f t="shared" si="9"/>
        <v>0</v>
      </c>
      <c r="S57" s="17">
        <f t="shared" si="9"/>
        <v>0</v>
      </c>
      <c r="T57" s="17">
        <f t="shared" si="9"/>
        <v>0</v>
      </c>
      <c r="U57" s="17">
        <f t="shared" si="9"/>
        <v>0</v>
      </c>
      <c r="V57" s="17">
        <f t="shared" si="9"/>
        <v>0</v>
      </c>
      <c r="W57" s="17">
        <f t="shared" si="9"/>
        <v>0</v>
      </c>
      <c r="X57" s="17">
        <f t="shared" si="9"/>
        <v>0</v>
      </c>
      <c r="Y57" s="17">
        <f t="shared" si="9"/>
        <v>0</v>
      </c>
      <c r="Z57" s="17">
        <f t="shared" si="9"/>
        <v>0</v>
      </c>
      <c r="AA57" s="17">
        <f t="shared" si="9"/>
        <v>0</v>
      </c>
      <c r="AB57" s="17">
        <f t="shared" si="9"/>
        <v>0</v>
      </c>
      <c r="AC57" s="17">
        <f t="shared" si="9"/>
        <v>0</v>
      </c>
      <c r="AD57" s="17">
        <f t="shared" si="9"/>
        <v>0</v>
      </c>
      <c r="AE57" s="17">
        <f t="shared" si="9"/>
        <v>0</v>
      </c>
      <c r="AF57" s="17">
        <f t="shared" si="9"/>
        <v>0</v>
      </c>
      <c r="AG57" s="17">
        <f t="shared" si="9"/>
        <v>0</v>
      </c>
      <c r="AH57" s="17">
        <f t="shared" si="9"/>
        <v>0</v>
      </c>
      <c r="AI57" s="17">
        <f t="shared" si="9"/>
        <v>0</v>
      </c>
      <c r="AJ57" s="17">
        <f t="shared" si="9"/>
        <v>0</v>
      </c>
    </row>
    <row r="58" spans="2:36" ht="15.75" thickBot="1">
      <c r="B58" s="338"/>
      <c r="C58" s="336" t="s">
        <v>107</v>
      </c>
      <c r="D58" s="275" t="s">
        <v>88</v>
      </c>
      <c r="E58" s="269"/>
      <c r="F58" s="270"/>
      <c r="G58" s="270"/>
      <c r="H58" s="270"/>
      <c r="I58" s="270"/>
      <c r="J58" s="270"/>
      <c r="K58" s="270"/>
      <c r="L58" s="270"/>
      <c r="M58" s="270"/>
      <c r="N58" s="270"/>
      <c r="O58" s="270"/>
      <c r="P58" s="270"/>
      <c r="Q58" s="270"/>
      <c r="R58" s="270"/>
      <c r="S58" s="270"/>
      <c r="T58" s="270"/>
      <c r="U58" s="270"/>
      <c r="V58" s="270"/>
      <c r="W58" s="270"/>
      <c r="X58" s="270"/>
      <c r="Y58" s="270"/>
      <c r="Z58" s="270"/>
      <c r="AA58" s="270"/>
      <c r="AB58" s="270"/>
      <c r="AC58" s="270"/>
      <c r="AD58" s="270"/>
      <c r="AE58" s="270"/>
      <c r="AF58" s="270"/>
      <c r="AG58" s="270"/>
      <c r="AH58" s="270"/>
      <c r="AI58" s="270"/>
      <c r="AJ58" s="11">
        <f t="shared" si="0"/>
        <v>0</v>
      </c>
    </row>
    <row r="59" spans="2:36" ht="15.75" thickBot="1">
      <c r="B59" s="338"/>
      <c r="C59" s="336"/>
      <c r="D59" s="275" t="s">
        <v>89</v>
      </c>
      <c r="E59" s="269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  <c r="AC59" s="270"/>
      <c r="AD59" s="270"/>
      <c r="AE59" s="270"/>
      <c r="AF59" s="270"/>
      <c r="AG59" s="270"/>
      <c r="AH59" s="270"/>
      <c r="AI59" s="270"/>
      <c r="AJ59" s="11">
        <f t="shared" si="0"/>
        <v>0</v>
      </c>
    </row>
    <row r="60" spans="2:36" ht="15.75" thickBot="1">
      <c r="B60" s="338"/>
      <c r="C60" s="336"/>
      <c r="D60" s="275" t="s">
        <v>52</v>
      </c>
      <c r="E60" s="269"/>
      <c r="F60" s="269"/>
      <c r="G60" s="269"/>
      <c r="H60" s="269"/>
      <c r="I60" s="269"/>
      <c r="J60" s="269"/>
      <c r="K60" s="269"/>
      <c r="L60" s="269"/>
      <c r="M60" s="269"/>
      <c r="N60" s="269"/>
      <c r="O60" s="269"/>
      <c r="P60" s="269"/>
      <c r="Q60" s="269"/>
      <c r="R60" s="269"/>
      <c r="S60" s="269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11">
        <f t="shared" si="0"/>
        <v>0</v>
      </c>
    </row>
    <row r="61" spans="2:36" ht="15.75" thickBot="1">
      <c r="B61" s="338"/>
      <c r="C61" s="336"/>
      <c r="D61" s="18" t="s">
        <v>17</v>
      </c>
      <c r="E61" s="17">
        <f>SUM(E58:E60)</f>
        <v>0</v>
      </c>
      <c r="F61" s="17">
        <f t="shared" ref="F61:AJ61" si="10">SUM(F58:F60)</f>
        <v>0</v>
      </c>
      <c r="G61" s="17">
        <f t="shared" si="10"/>
        <v>0</v>
      </c>
      <c r="H61" s="17">
        <f t="shared" si="10"/>
        <v>0</v>
      </c>
      <c r="I61" s="17">
        <f t="shared" si="10"/>
        <v>0</v>
      </c>
      <c r="J61" s="17">
        <f t="shared" si="10"/>
        <v>0</v>
      </c>
      <c r="K61" s="17">
        <f t="shared" si="10"/>
        <v>0</v>
      </c>
      <c r="L61" s="17">
        <f t="shared" si="10"/>
        <v>0</v>
      </c>
      <c r="M61" s="17">
        <f t="shared" si="10"/>
        <v>0</v>
      </c>
      <c r="N61" s="17">
        <f t="shared" si="10"/>
        <v>0</v>
      </c>
      <c r="O61" s="17">
        <f t="shared" si="10"/>
        <v>0</v>
      </c>
      <c r="P61" s="17">
        <f t="shared" si="10"/>
        <v>0</v>
      </c>
      <c r="Q61" s="17">
        <f t="shared" si="10"/>
        <v>0</v>
      </c>
      <c r="R61" s="17">
        <f t="shared" si="10"/>
        <v>0</v>
      </c>
      <c r="S61" s="17">
        <f t="shared" si="10"/>
        <v>0</v>
      </c>
      <c r="T61" s="17">
        <f t="shared" si="10"/>
        <v>0</v>
      </c>
      <c r="U61" s="17">
        <f t="shared" si="10"/>
        <v>0</v>
      </c>
      <c r="V61" s="17">
        <f t="shared" si="10"/>
        <v>0</v>
      </c>
      <c r="W61" s="17">
        <f t="shared" si="10"/>
        <v>0</v>
      </c>
      <c r="X61" s="17">
        <f t="shared" si="10"/>
        <v>0</v>
      </c>
      <c r="Y61" s="17">
        <f t="shared" si="10"/>
        <v>0</v>
      </c>
      <c r="Z61" s="17">
        <f t="shared" si="10"/>
        <v>0</v>
      </c>
      <c r="AA61" s="17">
        <f t="shared" si="10"/>
        <v>0</v>
      </c>
      <c r="AB61" s="17">
        <f t="shared" si="10"/>
        <v>0</v>
      </c>
      <c r="AC61" s="17">
        <f t="shared" si="10"/>
        <v>0</v>
      </c>
      <c r="AD61" s="17">
        <f t="shared" si="10"/>
        <v>0</v>
      </c>
      <c r="AE61" s="17">
        <f t="shared" si="10"/>
        <v>0</v>
      </c>
      <c r="AF61" s="17">
        <f t="shared" si="10"/>
        <v>0</v>
      </c>
      <c r="AG61" s="17">
        <f t="shared" si="10"/>
        <v>0</v>
      </c>
      <c r="AH61" s="17">
        <f t="shared" si="10"/>
        <v>0</v>
      </c>
      <c r="AI61" s="17">
        <f t="shared" si="10"/>
        <v>0</v>
      </c>
      <c r="AJ61" s="17">
        <f t="shared" si="10"/>
        <v>0</v>
      </c>
    </row>
    <row r="62" spans="2:36" ht="15.75" thickBot="1">
      <c r="B62" s="338"/>
      <c r="C62" s="336" t="s">
        <v>72</v>
      </c>
      <c r="D62" s="275" t="s">
        <v>73</v>
      </c>
      <c r="E62" s="269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0"/>
      <c r="T62" s="270"/>
      <c r="U62" s="270"/>
      <c r="V62" s="270"/>
      <c r="W62" s="270"/>
      <c r="X62" s="270"/>
      <c r="Y62" s="270"/>
      <c r="Z62" s="270"/>
      <c r="AA62" s="270"/>
      <c r="AB62" s="270"/>
      <c r="AC62" s="270"/>
      <c r="AD62" s="270"/>
      <c r="AE62" s="270"/>
      <c r="AF62" s="270"/>
      <c r="AG62" s="270"/>
      <c r="AH62" s="270"/>
      <c r="AI62" s="270"/>
      <c r="AJ62" s="11">
        <f t="shared" si="0"/>
        <v>0</v>
      </c>
    </row>
    <row r="63" spans="2:36" ht="15.75" thickBot="1">
      <c r="B63" s="338"/>
      <c r="C63" s="336"/>
      <c r="D63" s="269" t="s">
        <v>56</v>
      </c>
      <c r="E63" s="270"/>
      <c r="F63" s="270"/>
      <c r="G63" s="270"/>
      <c r="H63" s="270"/>
      <c r="I63" s="270"/>
      <c r="J63" s="270"/>
      <c r="K63" s="270"/>
      <c r="L63" s="270"/>
      <c r="M63" s="270"/>
      <c r="N63" s="270"/>
      <c r="O63" s="270"/>
      <c r="P63" s="270"/>
      <c r="Q63" s="270"/>
      <c r="R63" s="270"/>
      <c r="S63" s="270"/>
      <c r="T63" s="270"/>
      <c r="U63" s="270"/>
      <c r="V63" s="270"/>
      <c r="W63" s="270"/>
      <c r="X63" s="270"/>
      <c r="Y63" s="270"/>
      <c r="Z63" s="270"/>
      <c r="AA63" s="270"/>
      <c r="AB63" s="270"/>
      <c r="AC63" s="270"/>
      <c r="AD63" s="270"/>
      <c r="AE63" s="270"/>
      <c r="AF63" s="270"/>
      <c r="AG63" s="270"/>
      <c r="AH63" s="270"/>
      <c r="AI63" s="270"/>
      <c r="AJ63" s="11">
        <f t="shared" si="0"/>
        <v>0</v>
      </c>
    </row>
    <row r="64" spans="2:36" ht="15.75" thickBot="1">
      <c r="B64" s="338"/>
      <c r="C64" s="336"/>
      <c r="D64" s="269" t="s">
        <v>52</v>
      </c>
      <c r="E64" s="270"/>
      <c r="F64" s="270"/>
      <c r="G64" s="270"/>
      <c r="H64" s="270"/>
      <c r="I64" s="270"/>
      <c r="J64" s="270"/>
      <c r="K64" s="270"/>
      <c r="L64" s="270"/>
      <c r="M64" s="270"/>
      <c r="N64" s="270"/>
      <c r="O64" s="270"/>
      <c r="P64" s="270"/>
      <c r="Q64" s="270"/>
      <c r="R64" s="270"/>
      <c r="S64" s="270"/>
      <c r="T64" s="270"/>
      <c r="U64" s="270"/>
      <c r="V64" s="270"/>
      <c r="W64" s="270"/>
      <c r="X64" s="270"/>
      <c r="Y64" s="270"/>
      <c r="Z64" s="270"/>
      <c r="AA64" s="270"/>
      <c r="AB64" s="270"/>
      <c r="AC64" s="270"/>
      <c r="AD64" s="270"/>
      <c r="AE64" s="270"/>
      <c r="AF64" s="270"/>
      <c r="AG64" s="270"/>
      <c r="AH64" s="270"/>
      <c r="AI64" s="270"/>
      <c r="AJ64" s="11">
        <f t="shared" si="0"/>
        <v>0</v>
      </c>
    </row>
    <row r="65" spans="2:36" ht="15.75" thickBot="1">
      <c r="B65" s="338"/>
      <c r="C65" s="336"/>
      <c r="D65" s="17" t="s">
        <v>17</v>
      </c>
      <c r="E65" s="19">
        <f>SUM(E62:E64)</f>
        <v>0</v>
      </c>
      <c r="F65" s="19">
        <f t="shared" ref="F65:AJ65" si="11">SUM(F62:F64)</f>
        <v>0</v>
      </c>
      <c r="G65" s="19">
        <f t="shared" si="11"/>
        <v>0</v>
      </c>
      <c r="H65" s="19">
        <f t="shared" si="11"/>
        <v>0</v>
      </c>
      <c r="I65" s="19">
        <f t="shared" si="11"/>
        <v>0</v>
      </c>
      <c r="J65" s="19">
        <f t="shared" si="11"/>
        <v>0</v>
      </c>
      <c r="K65" s="19">
        <f t="shared" si="11"/>
        <v>0</v>
      </c>
      <c r="L65" s="19">
        <f t="shared" si="11"/>
        <v>0</v>
      </c>
      <c r="M65" s="19">
        <f t="shared" si="11"/>
        <v>0</v>
      </c>
      <c r="N65" s="19">
        <f t="shared" si="11"/>
        <v>0</v>
      </c>
      <c r="O65" s="19">
        <f t="shared" si="11"/>
        <v>0</v>
      </c>
      <c r="P65" s="19">
        <f t="shared" si="11"/>
        <v>0</v>
      </c>
      <c r="Q65" s="19">
        <f t="shared" si="11"/>
        <v>0</v>
      </c>
      <c r="R65" s="19">
        <f t="shared" si="11"/>
        <v>0</v>
      </c>
      <c r="S65" s="19">
        <f t="shared" si="11"/>
        <v>0</v>
      </c>
      <c r="T65" s="19">
        <f t="shared" si="11"/>
        <v>0</v>
      </c>
      <c r="U65" s="19">
        <f t="shared" si="11"/>
        <v>0</v>
      </c>
      <c r="V65" s="19">
        <f t="shared" si="11"/>
        <v>0</v>
      </c>
      <c r="W65" s="19">
        <f t="shared" si="11"/>
        <v>0</v>
      </c>
      <c r="X65" s="19">
        <f t="shared" si="11"/>
        <v>0</v>
      </c>
      <c r="Y65" s="19">
        <f t="shared" si="11"/>
        <v>0</v>
      </c>
      <c r="Z65" s="19">
        <f t="shared" si="11"/>
        <v>0</v>
      </c>
      <c r="AA65" s="19">
        <f t="shared" si="11"/>
        <v>0</v>
      </c>
      <c r="AB65" s="19">
        <f t="shared" si="11"/>
        <v>0</v>
      </c>
      <c r="AC65" s="19">
        <f t="shared" si="11"/>
        <v>0</v>
      </c>
      <c r="AD65" s="19">
        <f t="shared" si="11"/>
        <v>0</v>
      </c>
      <c r="AE65" s="19">
        <f t="shared" si="11"/>
        <v>0</v>
      </c>
      <c r="AF65" s="19">
        <f t="shared" si="11"/>
        <v>0</v>
      </c>
      <c r="AG65" s="19">
        <f t="shared" si="11"/>
        <v>0</v>
      </c>
      <c r="AH65" s="19">
        <f t="shared" si="11"/>
        <v>0</v>
      </c>
      <c r="AI65" s="19">
        <f t="shared" si="11"/>
        <v>0</v>
      </c>
      <c r="AJ65" s="19">
        <f t="shared" si="11"/>
        <v>0</v>
      </c>
    </row>
    <row r="66" spans="2:36">
      <c r="B66" s="5"/>
      <c r="C66" s="5"/>
      <c r="D66" s="14" t="s">
        <v>104</v>
      </c>
      <c r="E66" s="14">
        <f t="shared" ref="E66:AI66" si="12">SUM(E13,E23,E27,E32,E36,E44,E48,E52,E57,E61,E65)</f>
        <v>0</v>
      </c>
      <c r="F66" s="14">
        <f t="shared" si="12"/>
        <v>0</v>
      </c>
      <c r="G66" s="14">
        <f t="shared" si="12"/>
        <v>0</v>
      </c>
      <c r="H66" s="14">
        <f t="shared" si="12"/>
        <v>0</v>
      </c>
      <c r="I66" s="14">
        <f t="shared" si="12"/>
        <v>0</v>
      </c>
      <c r="J66" s="14">
        <f t="shared" si="12"/>
        <v>0</v>
      </c>
      <c r="K66" s="14">
        <f t="shared" si="12"/>
        <v>0</v>
      </c>
      <c r="L66" s="14">
        <f t="shared" si="12"/>
        <v>0</v>
      </c>
      <c r="M66" s="14">
        <f t="shared" si="12"/>
        <v>0</v>
      </c>
      <c r="N66" s="14">
        <f t="shared" si="12"/>
        <v>0</v>
      </c>
      <c r="O66" s="14">
        <f t="shared" si="12"/>
        <v>0</v>
      </c>
      <c r="P66" s="14">
        <f t="shared" si="12"/>
        <v>0</v>
      </c>
      <c r="Q66" s="14">
        <f t="shared" si="12"/>
        <v>0</v>
      </c>
      <c r="R66" s="14">
        <f t="shared" si="12"/>
        <v>0</v>
      </c>
      <c r="S66" s="14">
        <f t="shared" si="12"/>
        <v>0</v>
      </c>
      <c r="T66" s="14">
        <f t="shared" si="12"/>
        <v>0</v>
      </c>
      <c r="U66" s="14">
        <f t="shared" si="12"/>
        <v>0</v>
      </c>
      <c r="V66" s="14">
        <f t="shared" si="12"/>
        <v>0</v>
      </c>
      <c r="W66" s="14">
        <f t="shared" si="12"/>
        <v>0</v>
      </c>
      <c r="X66" s="14">
        <f t="shared" si="12"/>
        <v>0</v>
      </c>
      <c r="Y66" s="14">
        <f t="shared" si="12"/>
        <v>0</v>
      </c>
      <c r="Z66" s="14">
        <f t="shared" si="12"/>
        <v>0</v>
      </c>
      <c r="AA66" s="14">
        <f t="shared" si="12"/>
        <v>0</v>
      </c>
      <c r="AB66" s="14">
        <f t="shared" si="12"/>
        <v>0</v>
      </c>
      <c r="AC66" s="14">
        <f t="shared" si="12"/>
        <v>0</v>
      </c>
      <c r="AD66" s="14">
        <f t="shared" si="12"/>
        <v>0</v>
      </c>
      <c r="AE66" s="14">
        <f t="shared" si="12"/>
        <v>0</v>
      </c>
      <c r="AF66" s="14">
        <f t="shared" si="12"/>
        <v>0</v>
      </c>
      <c r="AG66" s="14">
        <f t="shared" si="12"/>
        <v>0</v>
      </c>
      <c r="AH66" s="14">
        <f t="shared" si="12"/>
        <v>0</v>
      </c>
      <c r="AI66" s="14">
        <f t="shared" si="12"/>
        <v>0</v>
      </c>
      <c r="AJ66" s="27">
        <f t="shared" si="0"/>
        <v>0</v>
      </c>
    </row>
  </sheetData>
  <mergeCells count="13">
    <mergeCell ref="B2:AJ2"/>
    <mergeCell ref="B5:B65"/>
    <mergeCell ref="C37:C44"/>
    <mergeCell ref="C45:C48"/>
    <mergeCell ref="C49:C52"/>
    <mergeCell ref="C53:C57"/>
    <mergeCell ref="C58:C61"/>
    <mergeCell ref="C62:C65"/>
    <mergeCell ref="C5:C13"/>
    <mergeCell ref="C14:C23"/>
    <mergeCell ref="C24:C27"/>
    <mergeCell ref="C28:C32"/>
    <mergeCell ref="C33:C36"/>
  </mergeCells>
  <conditionalFormatting sqref="E28:AI31 E33:AI35 E37:AI43 E45:AI47 E49:AI51 E53:AI56 E58:AI60 E62:AI64">
    <cfRule type="notContainsBlanks" dxfId="14" priority="3">
      <formula>LEN(TRIM(E28))&gt;0</formula>
    </cfRule>
  </conditionalFormatting>
  <conditionalFormatting sqref="D5:D12 D14:D22 D24:D26 D28:D31 D33:D35 D37:D43 D45:D47 D49:D51 D53:D56 D58:D60 D62:D64">
    <cfRule type="notContainsBlanks" dxfId="13" priority="2">
      <formula>LEN(TRIM(D5))&gt;0</formula>
    </cfRule>
  </conditionalFormatting>
  <conditionalFormatting sqref="E5:AI12 E14:AI22 E24:AI26">
    <cfRule type="notContainsBlanks" dxfId="12" priority="1">
      <formula>LEN(TRIM(E5))&gt;0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4"/>
  <dimension ref="B1:AJ66"/>
  <sheetViews>
    <sheetView showGridLines="0" showRowColHeaders="0"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2" max="2" width="18.5703125" customWidth="1"/>
    <col min="3" max="3" width="18.28515625" bestFit="1" customWidth="1"/>
    <col min="4" max="4" width="19.7109375" bestFit="1" customWidth="1"/>
    <col min="5" max="35" width="12.5703125" bestFit="1" customWidth="1"/>
    <col min="36" max="36" width="13.5703125" bestFit="1" customWidth="1"/>
  </cols>
  <sheetData>
    <row r="1" spans="2:36" ht="15.75" thickBot="1"/>
    <row r="2" spans="2:36" ht="34.5" customHeight="1" thickBot="1">
      <c r="B2" s="342" t="s">
        <v>8</v>
      </c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2"/>
      <c r="AA2" s="342"/>
      <c r="AB2" s="342"/>
      <c r="AC2" s="342"/>
      <c r="AD2" s="342"/>
      <c r="AE2" s="342"/>
      <c r="AF2" s="342"/>
      <c r="AG2" s="342"/>
      <c r="AH2" s="342"/>
      <c r="AI2" s="342"/>
      <c r="AJ2" s="342"/>
    </row>
    <row r="4" spans="2:36" ht="15.75" thickBot="1">
      <c r="B4" s="4"/>
      <c r="C4" s="5"/>
      <c r="D4" s="12" t="s">
        <v>57</v>
      </c>
      <c r="E4" s="13">
        <v>1</v>
      </c>
      <c r="F4" s="13">
        <v>2</v>
      </c>
      <c r="G4" s="13">
        <v>3</v>
      </c>
      <c r="H4" s="13">
        <v>4</v>
      </c>
      <c r="I4" s="13">
        <v>5</v>
      </c>
      <c r="J4" s="13">
        <v>6</v>
      </c>
      <c r="K4" s="13">
        <v>7</v>
      </c>
      <c r="L4" s="13">
        <v>8</v>
      </c>
      <c r="M4" s="13">
        <v>9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17</v>
      </c>
      <c r="V4" s="13">
        <v>18</v>
      </c>
      <c r="W4" s="13">
        <v>19</v>
      </c>
      <c r="X4" s="13">
        <v>20</v>
      </c>
      <c r="Y4" s="13">
        <v>21</v>
      </c>
      <c r="Z4" s="13">
        <v>22</v>
      </c>
      <c r="AA4" s="13">
        <v>23</v>
      </c>
      <c r="AB4" s="13">
        <v>24</v>
      </c>
      <c r="AC4" s="13">
        <v>25</v>
      </c>
      <c r="AD4" s="13">
        <v>26</v>
      </c>
      <c r="AE4" s="13">
        <v>27</v>
      </c>
      <c r="AF4" s="13">
        <v>28</v>
      </c>
      <c r="AG4" s="13">
        <v>29</v>
      </c>
      <c r="AH4" s="13">
        <v>30</v>
      </c>
      <c r="AI4" s="13">
        <v>31</v>
      </c>
      <c r="AJ4" s="27" t="s">
        <v>103</v>
      </c>
    </row>
    <row r="5" spans="2:36" ht="15.75" thickBot="1">
      <c r="B5" s="338" t="s">
        <v>127</v>
      </c>
      <c r="C5" s="336" t="s">
        <v>25</v>
      </c>
      <c r="D5" s="268" t="s">
        <v>30</v>
      </c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11">
        <f>SUM(E5:AI5)</f>
        <v>0</v>
      </c>
    </row>
    <row r="6" spans="2:36" ht="15.75" thickBot="1">
      <c r="B6" s="338"/>
      <c r="C6" s="336"/>
      <c r="D6" s="271" t="s">
        <v>26</v>
      </c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11">
        <f t="shared" ref="AJ6:AJ66" si="0">SUM(E6:AI6)</f>
        <v>0</v>
      </c>
    </row>
    <row r="7" spans="2:36" ht="15.75" thickBot="1">
      <c r="B7" s="338"/>
      <c r="C7" s="336"/>
      <c r="D7" s="271" t="s">
        <v>29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11">
        <f t="shared" si="0"/>
        <v>0</v>
      </c>
    </row>
    <row r="8" spans="2:36" ht="15.75" thickBot="1">
      <c r="B8" s="338"/>
      <c r="C8" s="336"/>
      <c r="D8" s="271" t="s">
        <v>27</v>
      </c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11">
        <f t="shared" si="0"/>
        <v>0</v>
      </c>
    </row>
    <row r="9" spans="2:36" ht="15.75" thickBot="1">
      <c r="B9" s="338"/>
      <c r="C9" s="336"/>
      <c r="D9" s="271" t="s">
        <v>28</v>
      </c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11">
        <f t="shared" si="0"/>
        <v>0</v>
      </c>
    </row>
    <row r="10" spans="2:36" ht="15.75" thickBot="1">
      <c r="B10" s="338"/>
      <c r="C10" s="336"/>
      <c r="D10" s="272" t="s">
        <v>86</v>
      </c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11">
        <f t="shared" si="0"/>
        <v>0</v>
      </c>
    </row>
    <row r="11" spans="2:36" ht="15.75" thickBot="1">
      <c r="B11" s="338"/>
      <c r="C11" s="336"/>
      <c r="D11" s="272" t="s">
        <v>87</v>
      </c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11">
        <f t="shared" si="0"/>
        <v>0</v>
      </c>
    </row>
    <row r="12" spans="2:36" ht="15.75" thickBot="1">
      <c r="B12" s="338"/>
      <c r="C12" s="336"/>
      <c r="D12" s="272" t="s">
        <v>52</v>
      </c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11">
        <f t="shared" si="0"/>
        <v>0</v>
      </c>
    </row>
    <row r="13" spans="2:36" ht="15.75" thickBot="1">
      <c r="B13" s="338"/>
      <c r="C13" s="336"/>
      <c r="D13" s="20" t="s">
        <v>17</v>
      </c>
      <c r="E13" s="21">
        <f>SUM(E5:E12)</f>
        <v>0</v>
      </c>
      <c r="F13" s="21">
        <f t="shared" ref="F13:AJ13" si="1">SUM(F5:F12)</f>
        <v>0</v>
      </c>
      <c r="G13" s="21">
        <f t="shared" si="1"/>
        <v>0</v>
      </c>
      <c r="H13" s="21">
        <f t="shared" si="1"/>
        <v>0</v>
      </c>
      <c r="I13" s="21">
        <f t="shared" si="1"/>
        <v>0</v>
      </c>
      <c r="J13" s="21">
        <f t="shared" si="1"/>
        <v>0</v>
      </c>
      <c r="K13" s="21">
        <f t="shared" si="1"/>
        <v>0</v>
      </c>
      <c r="L13" s="21">
        <f t="shared" si="1"/>
        <v>0</v>
      </c>
      <c r="M13" s="21">
        <f t="shared" si="1"/>
        <v>0</v>
      </c>
      <c r="N13" s="21">
        <f t="shared" si="1"/>
        <v>0</v>
      </c>
      <c r="O13" s="21">
        <f t="shared" si="1"/>
        <v>0</v>
      </c>
      <c r="P13" s="21">
        <f t="shared" si="1"/>
        <v>0</v>
      </c>
      <c r="Q13" s="21">
        <f t="shared" si="1"/>
        <v>0</v>
      </c>
      <c r="R13" s="21">
        <f t="shared" si="1"/>
        <v>0</v>
      </c>
      <c r="S13" s="21">
        <f t="shared" si="1"/>
        <v>0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21">
        <f t="shared" si="1"/>
        <v>0</v>
      </c>
      <c r="AG13" s="21">
        <f t="shared" si="1"/>
        <v>0</v>
      </c>
      <c r="AH13" s="21">
        <f t="shared" si="1"/>
        <v>0</v>
      </c>
      <c r="AI13" s="21">
        <f t="shared" si="1"/>
        <v>0</v>
      </c>
      <c r="AJ13" s="21">
        <f t="shared" si="1"/>
        <v>0</v>
      </c>
    </row>
    <row r="14" spans="2:36" ht="15.75" thickBot="1">
      <c r="B14" s="338"/>
      <c r="C14" s="336" t="s">
        <v>23</v>
      </c>
      <c r="D14" s="273" t="s">
        <v>31</v>
      </c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11">
        <f t="shared" si="0"/>
        <v>0</v>
      </c>
    </row>
    <row r="15" spans="2:36" ht="15.75" thickBot="1">
      <c r="B15" s="338"/>
      <c r="C15" s="336"/>
      <c r="D15" s="271" t="s">
        <v>32</v>
      </c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11">
        <f t="shared" si="0"/>
        <v>0</v>
      </c>
    </row>
    <row r="16" spans="2:36" ht="15.75" thickBot="1">
      <c r="B16" s="338"/>
      <c r="C16" s="336"/>
      <c r="D16" s="271" t="s">
        <v>33</v>
      </c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11">
        <f t="shared" si="0"/>
        <v>0</v>
      </c>
    </row>
    <row r="17" spans="2:36" ht="15.75" thickBot="1">
      <c r="B17" s="338"/>
      <c r="C17" s="336"/>
      <c r="D17" s="271" t="s">
        <v>54</v>
      </c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  <c r="AJ17" s="11">
        <f t="shared" si="0"/>
        <v>0</v>
      </c>
    </row>
    <row r="18" spans="2:36" ht="15.75" thickBot="1">
      <c r="B18" s="338"/>
      <c r="C18" s="336"/>
      <c r="D18" s="271" t="s">
        <v>55</v>
      </c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  <c r="AJ18" s="11">
        <f t="shared" si="0"/>
        <v>0</v>
      </c>
    </row>
    <row r="19" spans="2:36" ht="15.75" thickBot="1">
      <c r="B19" s="338"/>
      <c r="C19" s="336"/>
      <c r="D19" s="271" t="s">
        <v>38</v>
      </c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  <c r="AF19" s="269"/>
      <c r="AG19" s="269"/>
      <c r="AH19" s="269"/>
      <c r="AI19" s="269"/>
      <c r="AJ19" s="11">
        <f t="shared" si="0"/>
        <v>0</v>
      </c>
    </row>
    <row r="20" spans="2:36" ht="15.75" thickBot="1">
      <c r="B20" s="338"/>
      <c r="C20" s="336"/>
      <c r="D20" s="271" t="s">
        <v>37</v>
      </c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  <c r="AF20" s="269"/>
      <c r="AG20" s="269"/>
      <c r="AH20" s="269"/>
      <c r="AI20" s="269"/>
      <c r="AJ20" s="11">
        <f t="shared" si="0"/>
        <v>0</v>
      </c>
    </row>
    <row r="21" spans="2:36" ht="15.75" thickBot="1">
      <c r="B21" s="338"/>
      <c r="C21" s="336"/>
      <c r="D21" s="271" t="s">
        <v>75</v>
      </c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  <c r="AF21" s="269"/>
      <c r="AG21" s="269"/>
      <c r="AH21" s="269"/>
      <c r="AI21" s="269"/>
      <c r="AJ21" s="11">
        <f t="shared" si="0"/>
        <v>0</v>
      </c>
    </row>
    <row r="22" spans="2:36" ht="15.75" thickBot="1">
      <c r="B22" s="338"/>
      <c r="C22" s="336"/>
      <c r="D22" s="271" t="s">
        <v>52</v>
      </c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  <c r="AF22" s="269"/>
      <c r="AG22" s="269"/>
      <c r="AH22" s="269"/>
      <c r="AI22" s="269"/>
      <c r="AJ22" s="11">
        <f t="shared" si="0"/>
        <v>0</v>
      </c>
    </row>
    <row r="23" spans="2:36" ht="15.75" thickBot="1">
      <c r="B23" s="338"/>
      <c r="C23" s="336"/>
      <c r="D23" s="22" t="s">
        <v>17</v>
      </c>
      <c r="E23" s="21">
        <f>SUM(E14:E22)</f>
        <v>0</v>
      </c>
      <c r="F23" s="21">
        <f>SUM(F14:F22)</f>
        <v>0</v>
      </c>
      <c r="G23" s="21">
        <f t="shared" ref="G23:AJ23" si="2">SUM(G14:G22)</f>
        <v>0</v>
      </c>
      <c r="H23" s="21">
        <f t="shared" si="2"/>
        <v>0</v>
      </c>
      <c r="I23" s="21">
        <f t="shared" si="2"/>
        <v>0</v>
      </c>
      <c r="J23" s="21">
        <f t="shared" si="2"/>
        <v>0</v>
      </c>
      <c r="K23" s="21">
        <f t="shared" si="2"/>
        <v>0</v>
      </c>
      <c r="L23" s="21">
        <f t="shared" si="2"/>
        <v>0</v>
      </c>
      <c r="M23" s="21">
        <f t="shared" si="2"/>
        <v>0</v>
      </c>
      <c r="N23" s="21">
        <f t="shared" si="2"/>
        <v>0</v>
      </c>
      <c r="O23" s="21">
        <f t="shared" si="2"/>
        <v>0</v>
      </c>
      <c r="P23" s="21">
        <f t="shared" si="2"/>
        <v>0</v>
      </c>
      <c r="Q23" s="21">
        <f t="shared" si="2"/>
        <v>0</v>
      </c>
      <c r="R23" s="21">
        <f t="shared" si="2"/>
        <v>0</v>
      </c>
      <c r="S23" s="21">
        <f t="shared" si="2"/>
        <v>0</v>
      </c>
      <c r="T23" s="21">
        <f t="shared" si="2"/>
        <v>0</v>
      </c>
      <c r="U23" s="21">
        <f t="shared" si="2"/>
        <v>0</v>
      </c>
      <c r="V23" s="21">
        <f t="shared" si="2"/>
        <v>0</v>
      </c>
      <c r="W23" s="21">
        <f t="shared" si="2"/>
        <v>0</v>
      </c>
      <c r="X23" s="21">
        <f t="shared" si="2"/>
        <v>0</v>
      </c>
      <c r="Y23" s="21">
        <f t="shared" si="2"/>
        <v>0</v>
      </c>
      <c r="Z23" s="21">
        <f t="shared" si="2"/>
        <v>0</v>
      </c>
      <c r="AA23" s="21">
        <f t="shared" si="2"/>
        <v>0</v>
      </c>
      <c r="AB23" s="21">
        <f t="shared" si="2"/>
        <v>0</v>
      </c>
      <c r="AC23" s="21">
        <f t="shared" si="2"/>
        <v>0</v>
      </c>
      <c r="AD23" s="21">
        <f t="shared" si="2"/>
        <v>0</v>
      </c>
      <c r="AE23" s="21">
        <f t="shared" si="2"/>
        <v>0</v>
      </c>
      <c r="AF23" s="21">
        <f t="shared" si="2"/>
        <v>0</v>
      </c>
      <c r="AG23" s="21">
        <f t="shared" si="2"/>
        <v>0</v>
      </c>
      <c r="AH23" s="21">
        <f t="shared" si="2"/>
        <v>0</v>
      </c>
      <c r="AI23" s="21">
        <f t="shared" si="2"/>
        <v>0</v>
      </c>
      <c r="AJ23" s="21">
        <f t="shared" si="2"/>
        <v>0</v>
      </c>
    </row>
    <row r="24" spans="2:36" ht="15.75" thickBot="1">
      <c r="B24" s="338"/>
      <c r="C24" s="336" t="s">
        <v>39</v>
      </c>
      <c r="D24" s="271" t="s">
        <v>40</v>
      </c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  <c r="AF24" s="269"/>
      <c r="AG24" s="269"/>
      <c r="AH24" s="269"/>
      <c r="AI24" s="269"/>
      <c r="AJ24" s="11">
        <f t="shared" si="0"/>
        <v>0</v>
      </c>
    </row>
    <row r="25" spans="2:36" ht="15.75" thickBot="1">
      <c r="B25" s="338"/>
      <c r="C25" s="336"/>
      <c r="D25" s="271" t="s">
        <v>41</v>
      </c>
      <c r="E25" s="269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  <c r="AF25" s="269"/>
      <c r="AG25" s="269"/>
      <c r="AH25" s="269"/>
      <c r="AI25" s="269"/>
      <c r="AJ25" s="11">
        <f t="shared" si="0"/>
        <v>0</v>
      </c>
    </row>
    <row r="26" spans="2:36" ht="15.75" thickBot="1">
      <c r="B26" s="338"/>
      <c r="C26" s="336"/>
      <c r="D26" s="271" t="s">
        <v>52</v>
      </c>
      <c r="E26" s="269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  <c r="AF26" s="269"/>
      <c r="AG26" s="269"/>
      <c r="AH26" s="269"/>
      <c r="AI26" s="269"/>
      <c r="AJ26" s="11">
        <f t="shared" si="0"/>
        <v>0</v>
      </c>
    </row>
    <row r="27" spans="2:36" ht="15.75" thickBot="1">
      <c r="B27" s="338"/>
      <c r="C27" s="336"/>
      <c r="D27" s="16" t="s">
        <v>17</v>
      </c>
      <c r="E27" s="17">
        <f>SUM(E24:E26)</f>
        <v>0</v>
      </c>
      <c r="F27" s="17">
        <f>SUM(F24:F26)</f>
        <v>0</v>
      </c>
      <c r="G27" s="17">
        <f t="shared" ref="G27:AJ27" si="3">SUM(G24:G26)</f>
        <v>0</v>
      </c>
      <c r="H27" s="17">
        <f t="shared" si="3"/>
        <v>0</v>
      </c>
      <c r="I27" s="17">
        <f t="shared" si="3"/>
        <v>0</v>
      </c>
      <c r="J27" s="17">
        <f t="shared" si="3"/>
        <v>0</v>
      </c>
      <c r="K27" s="17">
        <f t="shared" si="3"/>
        <v>0</v>
      </c>
      <c r="L27" s="17">
        <f t="shared" si="3"/>
        <v>0</v>
      </c>
      <c r="M27" s="17">
        <f t="shared" si="3"/>
        <v>0</v>
      </c>
      <c r="N27" s="17">
        <f t="shared" si="3"/>
        <v>0</v>
      </c>
      <c r="O27" s="17">
        <f t="shared" si="3"/>
        <v>0</v>
      </c>
      <c r="P27" s="17">
        <f t="shared" si="3"/>
        <v>0</v>
      </c>
      <c r="Q27" s="17">
        <f t="shared" si="3"/>
        <v>0</v>
      </c>
      <c r="R27" s="17">
        <f t="shared" si="3"/>
        <v>0</v>
      </c>
      <c r="S27" s="17">
        <f t="shared" si="3"/>
        <v>0</v>
      </c>
      <c r="T27" s="17">
        <f t="shared" si="3"/>
        <v>0</v>
      </c>
      <c r="U27" s="17">
        <f t="shared" si="3"/>
        <v>0</v>
      </c>
      <c r="V27" s="17">
        <f t="shared" si="3"/>
        <v>0</v>
      </c>
      <c r="W27" s="17">
        <f t="shared" si="3"/>
        <v>0</v>
      </c>
      <c r="X27" s="17">
        <f t="shared" si="3"/>
        <v>0</v>
      </c>
      <c r="Y27" s="17">
        <f t="shared" si="3"/>
        <v>0</v>
      </c>
      <c r="Z27" s="17">
        <f t="shared" si="3"/>
        <v>0</v>
      </c>
      <c r="AA27" s="17">
        <f t="shared" si="3"/>
        <v>0</v>
      </c>
      <c r="AB27" s="17">
        <f t="shared" si="3"/>
        <v>0</v>
      </c>
      <c r="AC27" s="17">
        <f t="shared" si="3"/>
        <v>0</v>
      </c>
      <c r="AD27" s="17">
        <f t="shared" si="3"/>
        <v>0</v>
      </c>
      <c r="AE27" s="17">
        <f t="shared" si="3"/>
        <v>0</v>
      </c>
      <c r="AF27" s="17">
        <f t="shared" si="3"/>
        <v>0</v>
      </c>
      <c r="AG27" s="17">
        <f t="shared" si="3"/>
        <v>0</v>
      </c>
      <c r="AH27" s="17">
        <f t="shared" si="3"/>
        <v>0</v>
      </c>
      <c r="AI27" s="17">
        <f t="shared" si="3"/>
        <v>0</v>
      </c>
      <c r="AJ27" s="17">
        <f t="shared" si="3"/>
        <v>0</v>
      </c>
    </row>
    <row r="28" spans="2:36" ht="15.75" thickBot="1">
      <c r="B28" s="338"/>
      <c r="C28" s="336" t="s">
        <v>45</v>
      </c>
      <c r="D28" s="271" t="s">
        <v>79</v>
      </c>
      <c r="E28" s="269"/>
      <c r="F28" s="270"/>
      <c r="G28" s="270"/>
      <c r="H28" s="270"/>
      <c r="I28" s="270"/>
      <c r="J28" s="270"/>
      <c r="K28" s="270"/>
      <c r="L28" s="270"/>
      <c r="M28" s="270"/>
      <c r="N28" s="270"/>
      <c r="O28" s="270"/>
      <c r="P28" s="270"/>
      <c r="Q28" s="270"/>
      <c r="R28" s="270"/>
      <c r="S28" s="270"/>
      <c r="T28" s="270"/>
      <c r="U28" s="270"/>
      <c r="V28" s="270"/>
      <c r="W28" s="270"/>
      <c r="X28" s="270"/>
      <c r="Y28" s="270"/>
      <c r="Z28" s="270"/>
      <c r="AA28" s="270"/>
      <c r="AB28" s="270"/>
      <c r="AC28" s="270"/>
      <c r="AD28" s="270"/>
      <c r="AE28" s="270"/>
      <c r="AF28" s="270"/>
      <c r="AG28" s="270"/>
      <c r="AH28" s="270"/>
      <c r="AI28" s="270"/>
      <c r="AJ28" s="11">
        <f t="shared" si="0"/>
        <v>0</v>
      </c>
    </row>
    <row r="29" spans="2:36" ht="15.75" thickBot="1">
      <c r="B29" s="338"/>
      <c r="C29" s="336"/>
      <c r="D29" s="271" t="s">
        <v>78</v>
      </c>
      <c r="E29" s="269"/>
      <c r="F29" s="270"/>
      <c r="G29" s="270"/>
      <c r="H29" s="270"/>
      <c r="I29" s="270"/>
      <c r="J29" s="270"/>
      <c r="K29" s="270"/>
      <c r="L29" s="270"/>
      <c r="M29" s="270"/>
      <c r="N29" s="270"/>
      <c r="O29" s="270"/>
      <c r="P29" s="270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11">
        <f t="shared" si="0"/>
        <v>0</v>
      </c>
    </row>
    <row r="30" spans="2:36" ht="15.75" thickBot="1">
      <c r="B30" s="338"/>
      <c r="C30" s="336"/>
      <c r="D30" s="271" t="s">
        <v>48</v>
      </c>
      <c r="E30" s="269"/>
      <c r="F30" s="270"/>
      <c r="G30" s="270"/>
      <c r="H30" s="270"/>
      <c r="I30" s="270"/>
      <c r="J30" s="270"/>
      <c r="K30" s="270"/>
      <c r="L30" s="270"/>
      <c r="M30" s="270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11">
        <f t="shared" si="0"/>
        <v>0</v>
      </c>
    </row>
    <row r="31" spans="2:36" ht="15.75" thickBot="1">
      <c r="B31" s="338"/>
      <c r="C31" s="336"/>
      <c r="D31" s="271" t="s">
        <v>52</v>
      </c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11">
        <f t="shared" si="0"/>
        <v>0</v>
      </c>
    </row>
    <row r="32" spans="2:36" ht="15.75" thickBot="1">
      <c r="B32" s="338"/>
      <c r="C32" s="336"/>
      <c r="D32" s="16" t="s">
        <v>17</v>
      </c>
      <c r="E32" s="17">
        <f>SUM(E28:E31)</f>
        <v>0</v>
      </c>
      <c r="F32" s="17">
        <f t="shared" ref="F32:AJ32" si="4">SUM(F28:F31)</f>
        <v>0</v>
      </c>
      <c r="G32" s="17">
        <f t="shared" si="4"/>
        <v>0</v>
      </c>
      <c r="H32" s="17">
        <f t="shared" si="4"/>
        <v>0</v>
      </c>
      <c r="I32" s="17">
        <f t="shared" si="4"/>
        <v>0</v>
      </c>
      <c r="J32" s="17">
        <f t="shared" si="4"/>
        <v>0</v>
      </c>
      <c r="K32" s="17">
        <f t="shared" si="4"/>
        <v>0</v>
      </c>
      <c r="L32" s="17">
        <f t="shared" si="4"/>
        <v>0</v>
      </c>
      <c r="M32" s="17">
        <f t="shared" si="4"/>
        <v>0</v>
      </c>
      <c r="N32" s="17">
        <f t="shared" si="4"/>
        <v>0</v>
      </c>
      <c r="O32" s="17">
        <f t="shared" si="4"/>
        <v>0</v>
      </c>
      <c r="P32" s="17">
        <f t="shared" si="4"/>
        <v>0</v>
      </c>
      <c r="Q32" s="17">
        <f t="shared" si="4"/>
        <v>0</v>
      </c>
      <c r="R32" s="17">
        <f t="shared" si="4"/>
        <v>0</v>
      </c>
      <c r="S32" s="17">
        <f t="shared" si="4"/>
        <v>0</v>
      </c>
      <c r="T32" s="17">
        <f t="shared" si="4"/>
        <v>0</v>
      </c>
      <c r="U32" s="17">
        <f t="shared" si="4"/>
        <v>0</v>
      </c>
      <c r="V32" s="17">
        <f t="shared" si="4"/>
        <v>0</v>
      </c>
      <c r="W32" s="17">
        <f t="shared" si="4"/>
        <v>0</v>
      </c>
      <c r="X32" s="17">
        <f t="shared" si="4"/>
        <v>0</v>
      </c>
      <c r="Y32" s="17">
        <f t="shared" si="4"/>
        <v>0</v>
      </c>
      <c r="Z32" s="17">
        <f t="shared" si="4"/>
        <v>0</v>
      </c>
      <c r="AA32" s="17">
        <f t="shared" si="4"/>
        <v>0</v>
      </c>
      <c r="AB32" s="17">
        <f t="shared" si="4"/>
        <v>0</v>
      </c>
      <c r="AC32" s="17">
        <f t="shared" si="4"/>
        <v>0</v>
      </c>
      <c r="AD32" s="17">
        <f t="shared" si="4"/>
        <v>0</v>
      </c>
      <c r="AE32" s="17">
        <f t="shared" si="4"/>
        <v>0</v>
      </c>
      <c r="AF32" s="17">
        <f t="shared" si="4"/>
        <v>0</v>
      </c>
      <c r="AG32" s="17">
        <f t="shared" si="4"/>
        <v>0</v>
      </c>
      <c r="AH32" s="17">
        <f t="shared" si="4"/>
        <v>0</v>
      </c>
      <c r="AI32" s="17">
        <f t="shared" si="4"/>
        <v>0</v>
      </c>
      <c r="AJ32" s="17">
        <f t="shared" si="4"/>
        <v>0</v>
      </c>
    </row>
    <row r="33" spans="2:36" ht="15.75" thickBot="1">
      <c r="B33" s="338"/>
      <c r="C33" s="336" t="s">
        <v>22</v>
      </c>
      <c r="D33" s="271" t="s">
        <v>34</v>
      </c>
      <c r="E33" s="269"/>
      <c r="F33" s="270"/>
      <c r="G33" s="270"/>
      <c r="H33" s="270"/>
      <c r="I33" s="270"/>
      <c r="J33" s="270"/>
      <c r="K33" s="270"/>
      <c r="L33" s="270"/>
      <c r="M33" s="270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11">
        <f t="shared" si="0"/>
        <v>0</v>
      </c>
    </row>
    <row r="34" spans="2:36" ht="15.75" thickBot="1">
      <c r="B34" s="338"/>
      <c r="C34" s="336"/>
      <c r="D34" s="271" t="s">
        <v>35</v>
      </c>
      <c r="E34" s="269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11">
        <f t="shared" si="0"/>
        <v>0</v>
      </c>
    </row>
    <row r="35" spans="2:36" ht="15.75" thickBot="1">
      <c r="B35" s="338"/>
      <c r="C35" s="336"/>
      <c r="D35" s="271" t="s">
        <v>52</v>
      </c>
      <c r="E35" s="269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11">
        <f t="shared" si="0"/>
        <v>0</v>
      </c>
    </row>
    <row r="36" spans="2:36" ht="15.75" thickBot="1">
      <c r="B36" s="338"/>
      <c r="C36" s="336"/>
      <c r="D36" s="16" t="s">
        <v>17</v>
      </c>
      <c r="E36" s="17">
        <f>SUM(E33:E35)</f>
        <v>0</v>
      </c>
      <c r="F36" s="17">
        <f t="shared" ref="F36:AJ36" si="5">SUM(F33:F35)</f>
        <v>0</v>
      </c>
      <c r="G36" s="17">
        <f t="shared" si="5"/>
        <v>0</v>
      </c>
      <c r="H36" s="17">
        <f t="shared" si="5"/>
        <v>0</v>
      </c>
      <c r="I36" s="17">
        <f t="shared" si="5"/>
        <v>0</v>
      </c>
      <c r="J36" s="17">
        <f t="shared" si="5"/>
        <v>0</v>
      </c>
      <c r="K36" s="17">
        <f t="shared" si="5"/>
        <v>0</v>
      </c>
      <c r="L36" s="17">
        <f t="shared" si="5"/>
        <v>0</v>
      </c>
      <c r="M36" s="17">
        <f t="shared" si="5"/>
        <v>0</v>
      </c>
      <c r="N36" s="17">
        <f t="shared" si="5"/>
        <v>0</v>
      </c>
      <c r="O36" s="17">
        <f t="shared" si="5"/>
        <v>0</v>
      </c>
      <c r="P36" s="17">
        <f t="shared" si="5"/>
        <v>0</v>
      </c>
      <c r="Q36" s="17">
        <f t="shared" si="5"/>
        <v>0</v>
      </c>
      <c r="R36" s="17">
        <f t="shared" si="5"/>
        <v>0</v>
      </c>
      <c r="S36" s="17">
        <f t="shared" si="5"/>
        <v>0</v>
      </c>
      <c r="T36" s="17">
        <f t="shared" si="5"/>
        <v>0</v>
      </c>
      <c r="U36" s="17">
        <f t="shared" si="5"/>
        <v>0</v>
      </c>
      <c r="V36" s="17">
        <f t="shared" si="5"/>
        <v>0</v>
      </c>
      <c r="W36" s="17">
        <f t="shared" si="5"/>
        <v>0</v>
      </c>
      <c r="X36" s="17">
        <f t="shared" si="5"/>
        <v>0</v>
      </c>
      <c r="Y36" s="17">
        <f t="shared" si="5"/>
        <v>0</v>
      </c>
      <c r="Z36" s="17">
        <f t="shared" si="5"/>
        <v>0</v>
      </c>
      <c r="AA36" s="17">
        <f t="shared" si="5"/>
        <v>0</v>
      </c>
      <c r="AB36" s="17">
        <f t="shared" si="5"/>
        <v>0</v>
      </c>
      <c r="AC36" s="17">
        <f t="shared" si="5"/>
        <v>0</v>
      </c>
      <c r="AD36" s="17">
        <f t="shared" si="5"/>
        <v>0</v>
      </c>
      <c r="AE36" s="17">
        <f t="shared" si="5"/>
        <v>0</v>
      </c>
      <c r="AF36" s="17">
        <f t="shared" si="5"/>
        <v>0</v>
      </c>
      <c r="AG36" s="17">
        <f t="shared" si="5"/>
        <v>0</v>
      </c>
      <c r="AH36" s="17">
        <f t="shared" si="5"/>
        <v>0</v>
      </c>
      <c r="AI36" s="17">
        <f t="shared" si="5"/>
        <v>0</v>
      </c>
      <c r="AJ36" s="17">
        <f t="shared" si="5"/>
        <v>0</v>
      </c>
    </row>
    <row r="37" spans="2:36" ht="15.75" thickBot="1">
      <c r="B37" s="338"/>
      <c r="C37" s="336" t="s">
        <v>58</v>
      </c>
      <c r="D37" s="274" t="s">
        <v>91</v>
      </c>
      <c r="E37" s="269"/>
      <c r="F37" s="270"/>
      <c r="G37" s="270"/>
      <c r="H37" s="270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11">
        <f t="shared" si="0"/>
        <v>0</v>
      </c>
    </row>
    <row r="38" spans="2:36" ht="15.75" thickBot="1">
      <c r="B38" s="338"/>
      <c r="C38" s="336"/>
      <c r="D38" s="271" t="s">
        <v>60</v>
      </c>
      <c r="E38" s="269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  <c r="AC38" s="270"/>
      <c r="AD38" s="270"/>
      <c r="AE38" s="270"/>
      <c r="AF38" s="270"/>
      <c r="AG38" s="270"/>
      <c r="AH38" s="270"/>
      <c r="AI38" s="270"/>
      <c r="AJ38" s="11">
        <f t="shared" si="0"/>
        <v>0</v>
      </c>
    </row>
    <row r="39" spans="2:36" ht="15.75" thickBot="1">
      <c r="B39" s="338"/>
      <c r="C39" s="336"/>
      <c r="D39" s="271" t="s">
        <v>61</v>
      </c>
      <c r="E39" s="269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0"/>
      <c r="AH39" s="270"/>
      <c r="AI39" s="270"/>
      <c r="AJ39" s="11">
        <f t="shared" si="0"/>
        <v>0</v>
      </c>
    </row>
    <row r="40" spans="2:36" ht="15.75" thickBot="1">
      <c r="B40" s="338"/>
      <c r="C40" s="336"/>
      <c r="D40" s="271" t="s">
        <v>62</v>
      </c>
      <c r="E40" s="269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270"/>
      <c r="V40" s="270"/>
      <c r="W40" s="270"/>
      <c r="X40" s="270"/>
      <c r="Y40" s="270"/>
      <c r="Z40" s="270"/>
      <c r="AA40" s="270"/>
      <c r="AB40" s="270"/>
      <c r="AC40" s="270"/>
      <c r="AD40" s="270"/>
      <c r="AE40" s="270"/>
      <c r="AF40" s="270"/>
      <c r="AG40" s="270"/>
      <c r="AH40" s="270"/>
      <c r="AI40" s="270"/>
      <c r="AJ40" s="11">
        <f t="shared" si="0"/>
        <v>0</v>
      </c>
    </row>
    <row r="41" spans="2:36" ht="15.75" thickBot="1">
      <c r="B41" s="338"/>
      <c r="C41" s="336"/>
      <c r="D41" s="271" t="s">
        <v>81</v>
      </c>
      <c r="E41" s="269"/>
      <c r="F41" s="270"/>
      <c r="G41" s="270"/>
      <c r="H41" s="270"/>
      <c r="I41" s="270"/>
      <c r="J41" s="270"/>
      <c r="K41" s="270"/>
      <c r="L41" s="270"/>
      <c r="M41" s="270"/>
      <c r="N41" s="270"/>
      <c r="O41" s="270"/>
      <c r="P41" s="270"/>
      <c r="Q41" s="27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  <c r="AC41" s="270"/>
      <c r="AD41" s="270"/>
      <c r="AE41" s="270"/>
      <c r="AF41" s="270"/>
      <c r="AG41" s="270"/>
      <c r="AH41" s="270"/>
      <c r="AI41" s="270"/>
      <c r="AJ41" s="11">
        <f t="shared" si="0"/>
        <v>0</v>
      </c>
    </row>
    <row r="42" spans="2:36" ht="15.75" thickBot="1">
      <c r="B42" s="338"/>
      <c r="C42" s="336"/>
      <c r="D42" s="271" t="s">
        <v>110</v>
      </c>
      <c r="E42" s="269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11">
        <f t="shared" si="0"/>
        <v>0</v>
      </c>
    </row>
    <row r="43" spans="2:36" ht="15.75" thickBot="1">
      <c r="B43" s="338"/>
      <c r="C43" s="336"/>
      <c r="D43" s="271" t="s">
        <v>52</v>
      </c>
      <c r="E43" s="269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69"/>
      <c r="Q43" s="269"/>
      <c r="R43" s="269"/>
      <c r="S43" s="269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11">
        <f t="shared" si="0"/>
        <v>0</v>
      </c>
    </row>
    <row r="44" spans="2:36" ht="15.75" thickBot="1">
      <c r="B44" s="338"/>
      <c r="C44" s="336"/>
      <c r="D44" s="16" t="s">
        <v>17</v>
      </c>
      <c r="E44" s="17">
        <f>SUM(E37:E43)</f>
        <v>0</v>
      </c>
      <c r="F44" s="17">
        <f t="shared" ref="F44:AJ44" si="6">SUM(F37:F43)</f>
        <v>0</v>
      </c>
      <c r="G44" s="17">
        <f t="shared" si="6"/>
        <v>0</v>
      </c>
      <c r="H44" s="17">
        <f t="shared" si="6"/>
        <v>0</v>
      </c>
      <c r="I44" s="17">
        <f t="shared" si="6"/>
        <v>0</v>
      </c>
      <c r="J44" s="17">
        <f t="shared" si="6"/>
        <v>0</v>
      </c>
      <c r="K44" s="17">
        <f t="shared" si="6"/>
        <v>0</v>
      </c>
      <c r="L44" s="17">
        <f t="shared" si="6"/>
        <v>0</v>
      </c>
      <c r="M44" s="17">
        <f t="shared" si="6"/>
        <v>0</v>
      </c>
      <c r="N44" s="17">
        <f t="shared" si="6"/>
        <v>0</v>
      </c>
      <c r="O44" s="17">
        <f t="shared" si="6"/>
        <v>0</v>
      </c>
      <c r="P44" s="17">
        <f t="shared" si="6"/>
        <v>0</v>
      </c>
      <c r="Q44" s="17">
        <f t="shared" si="6"/>
        <v>0</v>
      </c>
      <c r="R44" s="17">
        <f t="shared" si="6"/>
        <v>0</v>
      </c>
      <c r="S44" s="17">
        <f t="shared" si="6"/>
        <v>0</v>
      </c>
      <c r="T44" s="17">
        <f t="shared" si="6"/>
        <v>0</v>
      </c>
      <c r="U44" s="17">
        <f t="shared" si="6"/>
        <v>0</v>
      </c>
      <c r="V44" s="17">
        <f t="shared" si="6"/>
        <v>0</v>
      </c>
      <c r="W44" s="17">
        <f t="shared" si="6"/>
        <v>0</v>
      </c>
      <c r="X44" s="17">
        <f t="shared" si="6"/>
        <v>0</v>
      </c>
      <c r="Y44" s="17">
        <f t="shared" si="6"/>
        <v>0</v>
      </c>
      <c r="Z44" s="17">
        <f t="shared" si="6"/>
        <v>0</v>
      </c>
      <c r="AA44" s="17">
        <f t="shared" si="6"/>
        <v>0</v>
      </c>
      <c r="AB44" s="17">
        <f t="shared" si="6"/>
        <v>0</v>
      </c>
      <c r="AC44" s="17">
        <f t="shared" si="6"/>
        <v>0</v>
      </c>
      <c r="AD44" s="17">
        <f t="shared" si="6"/>
        <v>0</v>
      </c>
      <c r="AE44" s="17">
        <f t="shared" si="6"/>
        <v>0</v>
      </c>
      <c r="AF44" s="17">
        <f t="shared" si="6"/>
        <v>0</v>
      </c>
      <c r="AG44" s="17">
        <f t="shared" si="6"/>
        <v>0</v>
      </c>
      <c r="AH44" s="17">
        <f t="shared" si="6"/>
        <v>0</v>
      </c>
      <c r="AI44" s="17">
        <f t="shared" si="6"/>
        <v>0</v>
      </c>
      <c r="AJ44" s="17">
        <f t="shared" si="6"/>
        <v>0</v>
      </c>
    </row>
    <row r="45" spans="2:36" ht="15.75" thickBot="1">
      <c r="B45" s="338"/>
      <c r="C45" s="336" t="s">
        <v>36</v>
      </c>
      <c r="D45" s="271" t="s">
        <v>63</v>
      </c>
      <c r="E45" s="269"/>
      <c r="F45" s="270"/>
      <c r="G45" s="270"/>
      <c r="H45" s="270"/>
      <c r="I45" s="270"/>
      <c r="J45" s="270"/>
      <c r="K45" s="270"/>
      <c r="L45" s="270"/>
      <c r="M45" s="270"/>
      <c r="N45" s="270"/>
      <c r="O45" s="270"/>
      <c r="P45" s="270"/>
      <c r="Q45" s="270"/>
      <c r="R45" s="270"/>
      <c r="S45" s="270"/>
      <c r="T45" s="270"/>
      <c r="U45" s="270"/>
      <c r="V45" s="270"/>
      <c r="W45" s="270"/>
      <c r="X45" s="270"/>
      <c r="Y45" s="270"/>
      <c r="Z45" s="270"/>
      <c r="AA45" s="270"/>
      <c r="AB45" s="270"/>
      <c r="AC45" s="270"/>
      <c r="AD45" s="270"/>
      <c r="AE45" s="270"/>
      <c r="AF45" s="270"/>
      <c r="AG45" s="270"/>
      <c r="AH45" s="270"/>
      <c r="AI45" s="270"/>
      <c r="AJ45" s="11">
        <f t="shared" si="0"/>
        <v>0</v>
      </c>
    </row>
    <row r="46" spans="2:36" ht="15.75" thickBot="1">
      <c r="B46" s="338"/>
      <c r="C46" s="336"/>
      <c r="D46" s="271" t="s">
        <v>64</v>
      </c>
      <c r="E46" s="269"/>
      <c r="F46" s="270"/>
      <c r="G46" s="270"/>
      <c r="H46" s="270"/>
      <c r="I46" s="270"/>
      <c r="J46" s="270"/>
      <c r="K46" s="270"/>
      <c r="L46" s="270"/>
      <c r="M46" s="270"/>
      <c r="N46" s="270"/>
      <c r="O46" s="270"/>
      <c r="P46" s="270"/>
      <c r="Q46" s="270"/>
      <c r="R46" s="270"/>
      <c r="S46" s="270"/>
      <c r="T46" s="270"/>
      <c r="U46" s="270"/>
      <c r="V46" s="270"/>
      <c r="W46" s="270"/>
      <c r="X46" s="270"/>
      <c r="Y46" s="270"/>
      <c r="Z46" s="270"/>
      <c r="AA46" s="270"/>
      <c r="AB46" s="270"/>
      <c r="AC46" s="270"/>
      <c r="AD46" s="270"/>
      <c r="AE46" s="270"/>
      <c r="AF46" s="270"/>
      <c r="AG46" s="270"/>
      <c r="AH46" s="270"/>
      <c r="AI46" s="270"/>
      <c r="AJ46" s="11">
        <f t="shared" si="0"/>
        <v>0</v>
      </c>
    </row>
    <row r="47" spans="2:36" ht="15.75" thickBot="1">
      <c r="B47" s="338"/>
      <c r="C47" s="336"/>
      <c r="D47" s="271" t="s">
        <v>52</v>
      </c>
      <c r="E47" s="269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69"/>
      <c r="S47" s="269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11">
        <f t="shared" si="0"/>
        <v>0</v>
      </c>
    </row>
    <row r="48" spans="2:36" ht="15.75" thickBot="1">
      <c r="B48" s="338"/>
      <c r="C48" s="336"/>
      <c r="D48" s="16" t="s">
        <v>17</v>
      </c>
      <c r="E48" s="17">
        <f>SUM(E45:E47)</f>
        <v>0</v>
      </c>
      <c r="F48" s="17">
        <f t="shared" ref="F48:AJ48" si="7">SUM(F45:F47)</f>
        <v>0</v>
      </c>
      <c r="G48" s="17">
        <f t="shared" si="7"/>
        <v>0</v>
      </c>
      <c r="H48" s="17">
        <f t="shared" si="7"/>
        <v>0</v>
      </c>
      <c r="I48" s="17">
        <f t="shared" si="7"/>
        <v>0</v>
      </c>
      <c r="J48" s="17">
        <f t="shared" si="7"/>
        <v>0</v>
      </c>
      <c r="K48" s="17">
        <f t="shared" si="7"/>
        <v>0</v>
      </c>
      <c r="L48" s="17">
        <f t="shared" si="7"/>
        <v>0</v>
      </c>
      <c r="M48" s="17">
        <f t="shared" si="7"/>
        <v>0</v>
      </c>
      <c r="N48" s="17">
        <f t="shared" si="7"/>
        <v>0</v>
      </c>
      <c r="O48" s="17">
        <f t="shared" si="7"/>
        <v>0</v>
      </c>
      <c r="P48" s="17">
        <f t="shared" si="7"/>
        <v>0</v>
      </c>
      <c r="Q48" s="17">
        <f t="shared" si="7"/>
        <v>0</v>
      </c>
      <c r="R48" s="17">
        <f t="shared" si="7"/>
        <v>0</v>
      </c>
      <c r="S48" s="17">
        <f t="shared" si="7"/>
        <v>0</v>
      </c>
      <c r="T48" s="17">
        <f t="shared" si="7"/>
        <v>0</v>
      </c>
      <c r="U48" s="17">
        <f t="shared" si="7"/>
        <v>0</v>
      </c>
      <c r="V48" s="17">
        <f t="shared" si="7"/>
        <v>0</v>
      </c>
      <c r="W48" s="17">
        <f t="shared" si="7"/>
        <v>0</v>
      </c>
      <c r="X48" s="17">
        <f t="shared" si="7"/>
        <v>0</v>
      </c>
      <c r="Y48" s="17">
        <f t="shared" si="7"/>
        <v>0</v>
      </c>
      <c r="Z48" s="17">
        <f t="shared" si="7"/>
        <v>0</v>
      </c>
      <c r="AA48" s="17">
        <f t="shared" si="7"/>
        <v>0</v>
      </c>
      <c r="AB48" s="17">
        <f t="shared" si="7"/>
        <v>0</v>
      </c>
      <c r="AC48" s="17">
        <f t="shared" si="7"/>
        <v>0</v>
      </c>
      <c r="AD48" s="17">
        <f t="shared" si="7"/>
        <v>0</v>
      </c>
      <c r="AE48" s="17">
        <f t="shared" si="7"/>
        <v>0</v>
      </c>
      <c r="AF48" s="17">
        <f t="shared" si="7"/>
        <v>0</v>
      </c>
      <c r="AG48" s="17">
        <f t="shared" si="7"/>
        <v>0</v>
      </c>
      <c r="AH48" s="17">
        <f t="shared" si="7"/>
        <v>0</v>
      </c>
      <c r="AI48" s="17">
        <f t="shared" si="7"/>
        <v>0</v>
      </c>
      <c r="AJ48" s="17">
        <f t="shared" si="7"/>
        <v>0</v>
      </c>
    </row>
    <row r="49" spans="2:36" ht="15.75" thickBot="1">
      <c r="B49" s="338"/>
      <c r="C49" s="336" t="s">
        <v>65</v>
      </c>
      <c r="D49" s="271" t="s">
        <v>66</v>
      </c>
      <c r="E49" s="269"/>
      <c r="F49" s="270"/>
      <c r="G49" s="270"/>
      <c r="H49" s="270"/>
      <c r="I49" s="270"/>
      <c r="J49" s="270"/>
      <c r="K49" s="270"/>
      <c r="L49" s="270"/>
      <c r="M49" s="270"/>
      <c r="N49" s="270"/>
      <c r="O49" s="270"/>
      <c r="P49" s="270"/>
      <c r="Q49" s="270"/>
      <c r="R49" s="270"/>
      <c r="S49" s="270"/>
      <c r="T49" s="270"/>
      <c r="U49" s="270"/>
      <c r="V49" s="270"/>
      <c r="W49" s="270"/>
      <c r="X49" s="270"/>
      <c r="Y49" s="270"/>
      <c r="Z49" s="270"/>
      <c r="AA49" s="270"/>
      <c r="AB49" s="270"/>
      <c r="AC49" s="270"/>
      <c r="AD49" s="270"/>
      <c r="AE49" s="270"/>
      <c r="AF49" s="270"/>
      <c r="AG49" s="270"/>
      <c r="AH49" s="270"/>
      <c r="AI49" s="270"/>
      <c r="AJ49" s="11">
        <f t="shared" si="0"/>
        <v>0</v>
      </c>
    </row>
    <row r="50" spans="2:36" ht="15.75" thickBot="1">
      <c r="B50" s="338"/>
      <c r="C50" s="336"/>
      <c r="D50" s="271" t="s">
        <v>67</v>
      </c>
      <c r="E50" s="269"/>
      <c r="F50" s="270"/>
      <c r="G50" s="270"/>
      <c r="H50" s="270"/>
      <c r="I50" s="270"/>
      <c r="J50" s="270"/>
      <c r="K50" s="270"/>
      <c r="L50" s="270"/>
      <c r="M50" s="270"/>
      <c r="N50" s="270"/>
      <c r="O50" s="270"/>
      <c r="P50" s="270"/>
      <c r="Q50" s="270"/>
      <c r="R50" s="270"/>
      <c r="S50" s="270"/>
      <c r="T50" s="270"/>
      <c r="U50" s="270"/>
      <c r="V50" s="270"/>
      <c r="W50" s="270"/>
      <c r="X50" s="270"/>
      <c r="Y50" s="270"/>
      <c r="Z50" s="270"/>
      <c r="AA50" s="270"/>
      <c r="AB50" s="270"/>
      <c r="AC50" s="270"/>
      <c r="AD50" s="270"/>
      <c r="AE50" s="270"/>
      <c r="AF50" s="270"/>
      <c r="AG50" s="270"/>
      <c r="AH50" s="270"/>
      <c r="AI50" s="270"/>
      <c r="AJ50" s="11">
        <f t="shared" si="0"/>
        <v>0</v>
      </c>
    </row>
    <row r="51" spans="2:36" ht="15.75" thickBot="1">
      <c r="B51" s="338"/>
      <c r="C51" s="336"/>
      <c r="D51" s="271" t="s">
        <v>52</v>
      </c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69"/>
      <c r="Q51" s="269"/>
      <c r="R51" s="269"/>
      <c r="S51" s="269"/>
      <c r="T51" s="269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11">
        <f t="shared" si="0"/>
        <v>0</v>
      </c>
    </row>
    <row r="52" spans="2:36" ht="15.75" thickBot="1">
      <c r="B52" s="338"/>
      <c r="C52" s="336"/>
      <c r="D52" s="16" t="s">
        <v>17</v>
      </c>
      <c r="E52" s="17">
        <f>SUM(E49:E51)</f>
        <v>0</v>
      </c>
      <c r="F52" s="17">
        <f t="shared" ref="F52:AJ52" si="8">SUM(F49:F51)</f>
        <v>0</v>
      </c>
      <c r="G52" s="17">
        <f t="shared" si="8"/>
        <v>0</v>
      </c>
      <c r="H52" s="17">
        <f t="shared" si="8"/>
        <v>0</v>
      </c>
      <c r="I52" s="17">
        <f t="shared" si="8"/>
        <v>0</v>
      </c>
      <c r="J52" s="17">
        <f t="shared" si="8"/>
        <v>0</v>
      </c>
      <c r="K52" s="17">
        <f t="shared" si="8"/>
        <v>0</v>
      </c>
      <c r="L52" s="17">
        <f t="shared" si="8"/>
        <v>0</v>
      </c>
      <c r="M52" s="17">
        <f t="shared" si="8"/>
        <v>0</v>
      </c>
      <c r="N52" s="17">
        <f t="shared" si="8"/>
        <v>0</v>
      </c>
      <c r="O52" s="17">
        <f t="shared" si="8"/>
        <v>0</v>
      </c>
      <c r="P52" s="17">
        <f t="shared" si="8"/>
        <v>0</v>
      </c>
      <c r="Q52" s="17">
        <f t="shared" si="8"/>
        <v>0</v>
      </c>
      <c r="R52" s="17">
        <f t="shared" si="8"/>
        <v>0</v>
      </c>
      <c r="S52" s="17">
        <f t="shared" si="8"/>
        <v>0</v>
      </c>
      <c r="T52" s="17">
        <f t="shared" si="8"/>
        <v>0</v>
      </c>
      <c r="U52" s="17">
        <f t="shared" si="8"/>
        <v>0</v>
      </c>
      <c r="V52" s="17">
        <f t="shared" si="8"/>
        <v>0</v>
      </c>
      <c r="W52" s="17">
        <f t="shared" si="8"/>
        <v>0</v>
      </c>
      <c r="X52" s="17">
        <f t="shared" si="8"/>
        <v>0</v>
      </c>
      <c r="Y52" s="17">
        <f t="shared" si="8"/>
        <v>0</v>
      </c>
      <c r="Z52" s="17">
        <f t="shared" si="8"/>
        <v>0</v>
      </c>
      <c r="AA52" s="17">
        <f t="shared" si="8"/>
        <v>0</v>
      </c>
      <c r="AB52" s="17">
        <f t="shared" si="8"/>
        <v>0</v>
      </c>
      <c r="AC52" s="17">
        <f t="shared" si="8"/>
        <v>0</v>
      </c>
      <c r="AD52" s="17">
        <f t="shared" si="8"/>
        <v>0</v>
      </c>
      <c r="AE52" s="17">
        <f t="shared" si="8"/>
        <v>0</v>
      </c>
      <c r="AF52" s="17">
        <f t="shared" si="8"/>
        <v>0</v>
      </c>
      <c r="AG52" s="17">
        <f t="shared" si="8"/>
        <v>0</v>
      </c>
      <c r="AH52" s="17">
        <f t="shared" si="8"/>
        <v>0</v>
      </c>
      <c r="AI52" s="17">
        <f t="shared" si="8"/>
        <v>0</v>
      </c>
      <c r="AJ52" s="17">
        <f t="shared" si="8"/>
        <v>0</v>
      </c>
    </row>
    <row r="53" spans="2:36" ht="15.75" thickBot="1">
      <c r="B53" s="338"/>
      <c r="C53" s="336" t="s">
        <v>68</v>
      </c>
      <c r="D53" s="271" t="s">
        <v>69</v>
      </c>
      <c r="E53" s="269"/>
      <c r="F53" s="270"/>
      <c r="G53" s="270"/>
      <c r="H53" s="270"/>
      <c r="I53" s="270"/>
      <c r="J53" s="270"/>
      <c r="K53" s="270"/>
      <c r="L53" s="270"/>
      <c r="M53" s="270"/>
      <c r="N53" s="270"/>
      <c r="O53" s="270"/>
      <c r="P53" s="270"/>
      <c r="Q53" s="270"/>
      <c r="R53" s="270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  <c r="AC53" s="270"/>
      <c r="AD53" s="270"/>
      <c r="AE53" s="270"/>
      <c r="AF53" s="270"/>
      <c r="AG53" s="270"/>
      <c r="AH53" s="270"/>
      <c r="AI53" s="270"/>
      <c r="AJ53" s="11">
        <f t="shared" si="0"/>
        <v>0</v>
      </c>
    </row>
    <row r="54" spans="2:36" ht="15.75" thickBot="1">
      <c r="B54" s="338"/>
      <c r="C54" s="336"/>
      <c r="D54" s="271" t="s">
        <v>70</v>
      </c>
      <c r="E54" s="269"/>
      <c r="F54" s="270"/>
      <c r="G54" s="270"/>
      <c r="H54" s="270"/>
      <c r="I54" s="270"/>
      <c r="J54" s="270"/>
      <c r="K54" s="270"/>
      <c r="L54" s="270"/>
      <c r="M54" s="270"/>
      <c r="N54" s="270"/>
      <c r="O54" s="270"/>
      <c r="P54" s="270"/>
      <c r="Q54" s="270"/>
      <c r="R54" s="270"/>
      <c r="S54" s="270"/>
      <c r="T54" s="270"/>
      <c r="U54" s="270"/>
      <c r="V54" s="270"/>
      <c r="W54" s="270"/>
      <c r="X54" s="270"/>
      <c r="Y54" s="270"/>
      <c r="Z54" s="270"/>
      <c r="AA54" s="270"/>
      <c r="AB54" s="270"/>
      <c r="AC54" s="270"/>
      <c r="AD54" s="270"/>
      <c r="AE54" s="270"/>
      <c r="AF54" s="270"/>
      <c r="AG54" s="270"/>
      <c r="AH54" s="270"/>
      <c r="AI54" s="270"/>
      <c r="AJ54" s="11">
        <f t="shared" si="0"/>
        <v>0</v>
      </c>
    </row>
    <row r="55" spans="2:36" ht="15.75" thickBot="1">
      <c r="B55" s="338"/>
      <c r="C55" s="336"/>
      <c r="D55" s="271" t="s">
        <v>71</v>
      </c>
      <c r="E55" s="269"/>
      <c r="F55" s="270"/>
      <c r="G55" s="270"/>
      <c r="H55" s="270"/>
      <c r="I55" s="270"/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T55" s="270"/>
      <c r="U55" s="270"/>
      <c r="V55" s="270"/>
      <c r="W55" s="270"/>
      <c r="X55" s="270"/>
      <c r="Y55" s="270"/>
      <c r="Z55" s="270"/>
      <c r="AA55" s="270"/>
      <c r="AB55" s="270"/>
      <c r="AC55" s="270"/>
      <c r="AD55" s="270"/>
      <c r="AE55" s="270"/>
      <c r="AF55" s="270"/>
      <c r="AG55" s="270"/>
      <c r="AH55" s="270"/>
      <c r="AI55" s="270"/>
      <c r="AJ55" s="11">
        <f t="shared" si="0"/>
        <v>0</v>
      </c>
    </row>
    <row r="56" spans="2:36" ht="15.75" thickBot="1">
      <c r="B56" s="338"/>
      <c r="C56" s="336"/>
      <c r="D56" s="271" t="s">
        <v>52</v>
      </c>
      <c r="E56" s="269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269"/>
      <c r="Q56" s="269"/>
      <c r="R56" s="269"/>
      <c r="S56" s="269"/>
      <c r="T56" s="269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11">
        <f t="shared" si="0"/>
        <v>0</v>
      </c>
    </row>
    <row r="57" spans="2:36" ht="15.75" thickBot="1">
      <c r="B57" s="338"/>
      <c r="C57" s="336"/>
      <c r="D57" s="16" t="s">
        <v>17</v>
      </c>
      <c r="E57" s="17">
        <f>SUM(E53:E56)</f>
        <v>0</v>
      </c>
      <c r="F57" s="17">
        <f t="shared" ref="F57:AJ57" si="9">SUM(F53:F56)</f>
        <v>0</v>
      </c>
      <c r="G57" s="17">
        <f t="shared" si="9"/>
        <v>0</v>
      </c>
      <c r="H57" s="17">
        <f t="shared" si="9"/>
        <v>0</v>
      </c>
      <c r="I57" s="17">
        <f t="shared" si="9"/>
        <v>0</v>
      </c>
      <c r="J57" s="17">
        <f t="shared" si="9"/>
        <v>0</v>
      </c>
      <c r="K57" s="17">
        <f t="shared" si="9"/>
        <v>0</v>
      </c>
      <c r="L57" s="17">
        <f t="shared" si="9"/>
        <v>0</v>
      </c>
      <c r="M57" s="17">
        <f t="shared" si="9"/>
        <v>0</v>
      </c>
      <c r="N57" s="17">
        <f t="shared" si="9"/>
        <v>0</v>
      </c>
      <c r="O57" s="17">
        <f t="shared" si="9"/>
        <v>0</v>
      </c>
      <c r="P57" s="17">
        <f t="shared" si="9"/>
        <v>0</v>
      </c>
      <c r="Q57" s="17">
        <f t="shared" si="9"/>
        <v>0</v>
      </c>
      <c r="R57" s="17">
        <f t="shared" si="9"/>
        <v>0</v>
      </c>
      <c r="S57" s="17">
        <f t="shared" si="9"/>
        <v>0</v>
      </c>
      <c r="T57" s="17">
        <f t="shared" si="9"/>
        <v>0</v>
      </c>
      <c r="U57" s="17">
        <f t="shared" si="9"/>
        <v>0</v>
      </c>
      <c r="V57" s="17">
        <f t="shared" si="9"/>
        <v>0</v>
      </c>
      <c r="W57" s="17">
        <f t="shared" si="9"/>
        <v>0</v>
      </c>
      <c r="X57" s="17">
        <f t="shared" si="9"/>
        <v>0</v>
      </c>
      <c r="Y57" s="17">
        <f t="shared" si="9"/>
        <v>0</v>
      </c>
      <c r="Z57" s="17">
        <f t="shared" si="9"/>
        <v>0</v>
      </c>
      <c r="AA57" s="17">
        <f t="shared" si="9"/>
        <v>0</v>
      </c>
      <c r="AB57" s="17">
        <f t="shared" si="9"/>
        <v>0</v>
      </c>
      <c r="AC57" s="17">
        <f t="shared" si="9"/>
        <v>0</v>
      </c>
      <c r="AD57" s="17">
        <f t="shared" si="9"/>
        <v>0</v>
      </c>
      <c r="AE57" s="17">
        <f t="shared" si="9"/>
        <v>0</v>
      </c>
      <c r="AF57" s="17">
        <f t="shared" si="9"/>
        <v>0</v>
      </c>
      <c r="AG57" s="17">
        <f t="shared" si="9"/>
        <v>0</v>
      </c>
      <c r="AH57" s="17">
        <f t="shared" si="9"/>
        <v>0</v>
      </c>
      <c r="AI57" s="17">
        <f t="shared" si="9"/>
        <v>0</v>
      </c>
      <c r="AJ57" s="17">
        <f t="shared" si="9"/>
        <v>0</v>
      </c>
    </row>
    <row r="58" spans="2:36" ht="15.75" thickBot="1">
      <c r="B58" s="338"/>
      <c r="C58" s="336" t="s">
        <v>107</v>
      </c>
      <c r="D58" s="275" t="s">
        <v>88</v>
      </c>
      <c r="E58" s="269"/>
      <c r="F58" s="270"/>
      <c r="G58" s="270"/>
      <c r="H58" s="270"/>
      <c r="I58" s="270"/>
      <c r="J58" s="270"/>
      <c r="K58" s="270"/>
      <c r="L58" s="270"/>
      <c r="M58" s="270"/>
      <c r="N58" s="270"/>
      <c r="O58" s="270"/>
      <c r="P58" s="270"/>
      <c r="Q58" s="270"/>
      <c r="R58" s="270"/>
      <c r="S58" s="270"/>
      <c r="T58" s="270"/>
      <c r="U58" s="270"/>
      <c r="V58" s="270"/>
      <c r="W58" s="270"/>
      <c r="X58" s="270"/>
      <c r="Y58" s="270"/>
      <c r="Z58" s="270"/>
      <c r="AA58" s="270"/>
      <c r="AB58" s="270"/>
      <c r="AC58" s="270"/>
      <c r="AD58" s="270"/>
      <c r="AE58" s="270"/>
      <c r="AF58" s="270"/>
      <c r="AG58" s="270"/>
      <c r="AH58" s="270"/>
      <c r="AI58" s="270"/>
      <c r="AJ58" s="11">
        <f t="shared" si="0"/>
        <v>0</v>
      </c>
    </row>
    <row r="59" spans="2:36" ht="15.75" thickBot="1">
      <c r="B59" s="338"/>
      <c r="C59" s="336"/>
      <c r="D59" s="275" t="s">
        <v>89</v>
      </c>
      <c r="E59" s="269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  <c r="AC59" s="270"/>
      <c r="AD59" s="270"/>
      <c r="AE59" s="270"/>
      <c r="AF59" s="270"/>
      <c r="AG59" s="270"/>
      <c r="AH59" s="270"/>
      <c r="AI59" s="270"/>
      <c r="AJ59" s="11">
        <f t="shared" si="0"/>
        <v>0</v>
      </c>
    </row>
    <row r="60" spans="2:36" ht="15.75" thickBot="1">
      <c r="B60" s="338"/>
      <c r="C60" s="336"/>
      <c r="D60" s="275" t="s">
        <v>52</v>
      </c>
      <c r="E60" s="269"/>
      <c r="F60" s="269"/>
      <c r="G60" s="269"/>
      <c r="H60" s="269"/>
      <c r="I60" s="269"/>
      <c r="J60" s="269"/>
      <c r="K60" s="269"/>
      <c r="L60" s="269"/>
      <c r="M60" s="269"/>
      <c r="N60" s="269"/>
      <c r="O60" s="269"/>
      <c r="P60" s="269"/>
      <c r="Q60" s="269"/>
      <c r="R60" s="269"/>
      <c r="S60" s="269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11">
        <f t="shared" si="0"/>
        <v>0</v>
      </c>
    </row>
    <row r="61" spans="2:36" ht="15.75" thickBot="1">
      <c r="B61" s="338"/>
      <c r="C61" s="336"/>
      <c r="D61" s="18" t="s">
        <v>17</v>
      </c>
      <c r="E61" s="17">
        <f>SUM(E58:E60)</f>
        <v>0</v>
      </c>
      <c r="F61" s="17">
        <f t="shared" ref="F61:AJ61" si="10">SUM(F58:F60)</f>
        <v>0</v>
      </c>
      <c r="G61" s="17">
        <f t="shared" si="10"/>
        <v>0</v>
      </c>
      <c r="H61" s="17">
        <f t="shared" si="10"/>
        <v>0</v>
      </c>
      <c r="I61" s="17">
        <f t="shared" si="10"/>
        <v>0</v>
      </c>
      <c r="J61" s="17">
        <f t="shared" si="10"/>
        <v>0</v>
      </c>
      <c r="K61" s="17">
        <f t="shared" si="10"/>
        <v>0</v>
      </c>
      <c r="L61" s="17">
        <f t="shared" si="10"/>
        <v>0</v>
      </c>
      <c r="M61" s="17">
        <f t="shared" si="10"/>
        <v>0</v>
      </c>
      <c r="N61" s="17">
        <f t="shared" si="10"/>
        <v>0</v>
      </c>
      <c r="O61" s="17">
        <f t="shared" si="10"/>
        <v>0</v>
      </c>
      <c r="P61" s="17">
        <f t="shared" si="10"/>
        <v>0</v>
      </c>
      <c r="Q61" s="17">
        <f t="shared" si="10"/>
        <v>0</v>
      </c>
      <c r="R61" s="17">
        <f t="shared" si="10"/>
        <v>0</v>
      </c>
      <c r="S61" s="17">
        <f t="shared" si="10"/>
        <v>0</v>
      </c>
      <c r="T61" s="17">
        <f t="shared" si="10"/>
        <v>0</v>
      </c>
      <c r="U61" s="17">
        <f t="shared" si="10"/>
        <v>0</v>
      </c>
      <c r="V61" s="17">
        <f t="shared" si="10"/>
        <v>0</v>
      </c>
      <c r="W61" s="17">
        <f t="shared" si="10"/>
        <v>0</v>
      </c>
      <c r="X61" s="17">
        <f t="shared" si="10"/>
        <v>0</v>
      </c>
      <c r="Y61" s="17">
        <f t="shared" si="10"/>
        <v>0</v>
      </c>
      <c r="Z61" s="17">
        <f t="shared" si="10"/>
        <v>0</v>
      </c>
      <c r="AA61" s="17">
        <f t="shared" si="10"/>
        <v>0</v>
      </c>
      <c r="AB61" s="17">
        <f t="shared" si="10"/>
        <v>0</v>
      </c>
      <c r="AC61" s="17">
        <f t="shared" si="10"/>
        <v>0</v>
      </c>
      <c r="AD61" s="17">
        <f t="shared" si="10"/>
        <v>0</v>
      </c>
      <c r="AE61" s="17">
        <f t="shared" si="10"/>
        <v>0</v>
      </c>
      <c r="AF61" s="17">
        <f t="shared" si="10"/>
        <v>0</v>
      </c>
      <c r="AG61" s="17">
        <f t="shared" si="10"/>
        <v>0</v>
      </c>
      <c r="AH61" s="17">
        <f t="shared" si="10"/>
        <v>0</v>
      </c>
      <c r="AI61" s="17">
        <f t="shared" si="10"/>
        <v>0</v>
      </c>
      <c r="AJ61" s="17">
        <f t="shared" si="10"/>
        <v>0</v>
      </c>
    </row>
    <row r="62" spans="2:36" ht="15.75" thickBot="1">
      <c r="B62" s="338"/>
      <c r="C62" s="336" t="s">
        <v>72</v>
      </c>
      <c r="D62" s="275" t="s">
        <v>73</v>
      </c>
      <c r="E62" s="269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0"/>
      <c r="T62" s="270"/>
      <c r="U62" s="270"/>
      <c r="V62" s="270"/>
      <c r="W62" s="270"/>
      <c r="X62" s="270"/>
      <c r="Y62" s="270"/>
      <c r="Z62" s="270"/>
      <c r="AA62" s="270"/>
      <c r="AB62" s="270"/>
      <c r="AC62" s="270"/>
      <c r="AD62" s="270"/>
      <c r="AE62" s="270"/>
      <c r="AF62" s="270"/>
      <c r="AG62" s="270"/>
      <c r="AH62" s="270"/>
      <c r="AI62" s="270"/>
      <c r="AJ62" s="11">
        <f t="shared" si="0"/>
        <v>0</v>
      </c>
    </row>
    <row r="63" spans="2:36" ht="15.75" thickBot="1">
      <c r="B63" s="338"/>
      <c r="C63" s="336"/>
      <c r="D63" s="269" t="s">
        <v>56</v>
      </c>
      <c r="E63" s="270"/>
      <c r="F63" s="270"/>
      <c r="G63" s="270"/>
      <c r="H63" s="270"/>
      <c r="I63" s="270"/>
      <c r="J63" s="270"/>
      <c r="K63" s="270"/>
      <c r="L63" s="270"/>
      <c r="M63" s="270"/>
      <c r="N63" s="270"/>
      <c r="O63" s="270"/>
      <c r="P63" s="270"/>
      <c r="Q63" s="270"/>
      <c r="R63" s="270"/>
      <c r="S63" s="270"/>
      <c r="T63" s="270"/>
      <c r="U63" s="270"/>
      <c r="V63" s="270"/>
      <c r="W63" s="270"/>
      <c r="X63" s="270"/>
      <c r="Y63" s="270"/>
      <c r="Z63" s="270"/>
      <c r="AA63" s="270"/>
      <c r="AB63" s="270"/>
      <c r="AC63" s="270"/>
      <c r="AD63" s="270"/>
      <c r="AE63" s="270"/>
      <c r="AF63" s="270"/>
      <c r="AG63" s="270"/>
      <c r="AH63" s="270"/>
      <c r="AI63" s="270"/>
      <c r="AJ63" s="11">
        <f t="shared" si="0"/>
        <v>0</v>
      </c>
    </row>
    <row r="64" spans="2:36" ht="15.75" thickBot="1">
      <c r="B64" s="338"/>
      <c r="C64" s="336"/>
      <c r="D64" s="269" t="s">
        <v>52</v>
      </c>
      <c r="E64" s="270"/>
      <c r="F64" s="270"/>
      <c r="G64" s="270"/>
      <c r="H64" s="270"/>
      <c r="I64" s="270"/>
      <c r="J64" s="270"/>
      <c r="K64" s="270"/>
      <c r="L64" s="270"/>
      <c r="M64" s="270"/>
      <c r="N64" s="270"/>
      <c r="O64" s="270"/>
      <c r="P64" s="270"/>
      <c r="Q64" s="270"/>
      <c r="R64" s="270"/>
      <c r="S64" s="270"/>
      <c r="T64" s="270"/>
      <c r="U64" s="270"/>
      <c r="V64" s="270"/>
      <c r="W64" s="270"/>
      <c r="X64" s="270"/>
      <c r="Y64" s="270"/>
      <c r="Z64" s="270"/>
      <c r="AA64" s="270"/>
      <c r="AB64" s="270"/>
      <c r="AC64" s="270"/>
      <c r="AD64" s="270"/>
      <c r="AE64" s="270"/>
      <c r="AF64" s="270"/>
      <c r="AG64" s="270"/>
      <c r="AH64" s="270"/>
      <c r="AI64" s="270"/>
      <c r="AJ64" s="11">
        <f t="shared" si="0"/>
        <v>0</v>
      </c>
    </row>
    <row r="65" spans="2:36" ht="15.75" thickBot="1">
      <c r="B65" s="338"/>
      <c r="C65" s="336"/>
      <c r="D65" s="17" t="s">
        <v>17</v>
      </c>
      <c r="E65" s="19">
        <f>SUM(E62:E64)</f>
        <v>0</v>
      </c>
      <c r="F65" s="19">
        <f t="shared" ref="F65:AJ65" si="11">SUM(F62:F64)</f>
        <v>0</v>
      </c>
      <c r="G65" s="19">
        <f t="shared" si="11"/>
        <v>0</v>
      </c>
      <c r="H65" s="19">
        <f t="shared" si="11"/>
        <v>0</v>
      </c>
      <c r="I65" s="19">
        <f t="shared" si="11"/>
        <v>0</v>
      </c>
      <c r="J65" s="19">
        <f t="shared" si="11"/>
        <v>0</v>
      </c>
      <c r="K65" s="19">
        <f t="shared" si="11"/>
        <v>0</v>
      </c>
      <c r="L65" s="19">
        <f t="shared" si="11"/>
        <v>0</v>
      </c>
      <c r="M65" s="19">
        <f t="shared" si="11"/>
        <v>0</v>
      </c>
      <c r="N65" s="19">
        <f t="shared" si="11"/>
        <v>0</v>
      </c>
      <c r="O65" s="19">
        <f t="shared" si="11"/>
        <v>0</v>
      </c>
      <c r="P65" s="19">
        <f t="shared" si="11"/>
        <v>0</v>
      </c>
      <c r="Q65" s="19">
        <f t="shared" si="11"/>
        <v>0</v>
      </c>
      <c r="R65" s="19">
        <f t="shared" si="11"/>
        <v>0</v>
      </c>
      <c r="S65" s="19">
        <f t="shared" si="11"/>
        <v>0</v>
      </c>
      <c r="T65" s="19">
        <f t="shared" si="11"/>
        <v>0</v>
      </c>
      <c r="U65" s="19">
        <f t="shared" si="11"/>
        <v>0</v>
      </c>
      <c r="V65" s="19">
        <f t="shared" si="11"/>
        <v>0</v>
      </c>
      <c r="W65" s="19">
        <f t="shared" si="11"/>
        <v>0</v>
      </c>
      <c r="X65" s="19">
        <f t="shared" si="11"/>
        <v>0</v>
      </c>
      <c r="Y65" s="19">
        <f t="shared" si="11"/>
        <v>0</v>
      </c>
      <c r="Z65" s="19">
        <f t="shared" si="11"/>
        <v>0</v>
      </c>
      <c r="AA65" s="19">
        <f t="shared" si="11"/>
        <v>0</v>
      </c>
      <c r="AB65" s="19">
        <f t="shared" si="11"/>
        <v>0</v>
      </c>
      <c r="AC65" s="19">
        <f t="shared" si="11"/>
        <v>0</v>
      </c>
      <c r="AD65" s="19">
        <f t="shared" si="11"/>
        <v>0</v>
      </c>
      <c r="AE65" s="19">
        <f t="shared" si="11"/>
        <v>0</v>
      </c>
      <c r="AF65" s="19">
        <f t="shared" si="11"/>
        <v>0</v>
      </c>
      <c r="AG65" s="19">
        <f t="shared" si="11"/>
        <v>0</v>
      </c>
      <c r="AH65" s="19">
        <f t="shared" si="11"/>
        <v>0</v>
      </c>
      <c r="AI65" s="19">
        <f t="shared" si="11"/>
        <v>0</v>
      </c>
      <c r="AJ65" s="19">
        <f t="shared" si="11"/>
        <v>0</v>
      </c>
    </row>
    <row r="66" spans="2:36">
      <c r="B66" s="5"/>
      <c r="C66" s="5"/>
      <c r="D66" s="14" t="s">
        <v>104</v>
      </c>
      <c r="E66" s="14">
        <f t="shared" ref="E66:AI66" si="12">SUM(E13,E23,E27,E32,E36,E44,E48,E52,E57,E61,E65)</f>
        <v>0</v>
      </c>
      <c r="F66" s="14">
        <f t="shared" si="12"/>
        <v>0</v>
      </c>
      <c r="G66" s="14">
        <f t="shared" si="12"/>
        <v>0</v>
      </c>
      <c r="H66" s="14">
        <f t="shared" si="12"/>
        <v>0</v>
      </c>
      <c r="I66" s="14">
        <f t="shared" si="12"/>
        <v>0</v>
      </c>
      <c r="J66" s="14">
        <f t="shared" si="12"/>
        <v>0</v>
      </c>
      <c r="K66" s="14">
        <f t="shared" si="12"/>
        <v>0</v>
      </c>
      <c r="L66" s="14">
        <f t="shared" si="12"/>
        <v>0</v>
      </c>
      <c r="M66" s="14">
        <f t="shared" si="12"/>
        <v>0</v>
      </c>
      <c r="N66" s="14">
        <f t="shared" si="12"/>
        <v>0</v>
      </c>
      <c r="O66" s="14">
        <f t="shared" si="12"/>
        <v>0</v>
      </c>
      <c r="P66" s="14">
        <f t="shared" si="12"/>
        <v>0</v>
      </c>
      <c r="Q66" s="14">
        <f t="shared" si="12"/>
        <v>0</v>
      </c>
      <c r="R66" s="14">
        <f t="shared" si="12"/>
        <v>0</v>
      </c>
      <c r="S66" s="14">
        <f t="shared" si="12"/>
        <v>0</v>
      </c>
      <c r="T66" s="14">
        <f t="shared" si="12"/>
        <v>0</v>
      </c>
      <c r="U66" s="14">
        <f t="shared" si="12"/>
        <v>0</v>
      </c>
      <c r="V66" s="14">
        <f t="shared" si="12"/>
        <v>0</v>
      </c>
      <c r="W66" s="14">
        <f t="shared" si="12"/>
        <v>0</v>
      </c>
      <c r="X66" s="14">
        <f t="shared" si="12"/>
        <v>0</v>
      </c>
      <c r="Y66" s="14">
        <f t="shared" si="12"/>
        <v>0</v>
      </c>
      <c r="Z66" s="14">
        <f t="shared" si="12"/>
        <v>0</v>
      </c>
      <c r="AA66" s="14">
        <f t="shared" si="12"/>
        <v>0</v>
      </c>
      <c r="AB66" s="14">
        <f t="shared" si="12"/>
        <v>0</v>
      </c>
      <c r="AC66" s="14">
        <f t="shared" si="12"/>
        <v>0</v>
      </c>
      <c r="AD66" s="14">
        <f t="shared" si="12"/>
        <v>0</v>
      </c>
      <c r="AE66" s="14">
        <f t="shared" si="12"/>
        <v>0</v>
      </c>
      <c r="AF66" s="14">
        <f t="shared" si="12"/>
        <v>0</v>
      </c>
      <c r="AG66" s="14">
        <f t="shared" si="12"/>
        <v>0</v>
      </c>
      <c r="AH66" s="14">
        <f t="shared" si="12"/>
        <v>0</v>
      </c>
      <c r="AI66" s="14">
        <f t="shared" si="12"/>
        <v>0</v>
      </c>
      <c r="AJ66" s="27">
        <f t="shared" si="0"/>
        <v>0</v>
      </c>
    </row>
  </sheetData>
  <mergeCells count="13">
    <mergeCell ref="B2:AJ2"/>
    <mergeCell ref="B5:B65"/>
    <mergeCell ref="C37:C44"/>
    <mergeCell ref="C45:C48"/>
    <mergeCell ref="C49:C52"/>
    <mergeCell ref="C53:C57"/>
    <mergeCell ref="C58:C61"/>
    <mergeCell ref="C62:C65"/>
    <mergeCell ref="C5:C13"/>
    <mergeCell ref="C14:C23"/>
    <mergeCell ref="C24:C27"/>
    <mergeCell ref="C28:C32"/>
    <mergeCell ref="C33:C36"/>
  </mergeCells>
  <conditionalFormatting sqref="E28:AI31 E33:AI35 E37:AI43 E45:AI47 E49:AI51 E53:AI56 E58:AI60 E62:AI64">
    <cfRule type="notContainsBlanks" dxfId="11" priority="3">
      <formula>LEN(TRIM(E28))&gt;0</formula>
    </cfRule>
  </conditionalFormatting>
  <conditionalFormatting sqref="D5:D12 D14:D22 D24:D26 D28:D31 D33:D35 D37:D43 D45:D47 D49:D51 D53:D56 D58:D60 D62:D64">
    <cfRule type="notContainsBlanks" dxfId="10" priority="2">
      <formula>LEN(TRIM(D5))&gt;0</formula>
    </cfRule>
  </conditionalFormatting>
  <conditionalFormatting sqref="E5:AI12 E14:AI22 E24:AI26">
    <cfRule type="notContainsBlanks" dxfId="9" priority="1">
      <formula>LEN(TRIM(E5))&gt;0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5"/>
  <dimension ref="B1:AJ66"/>
  <sheetViews>
    <sheetView showGridLines="0" showRowColHeaders="0"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2" max="2" width="18.5703125" customWidth="1"/>
    <col min="3" max="3" width="18.28515625" bestFit="1" customWidth="1"/>
    <col min="4" max="4" width="19.7109375" bestFit="1" customWidth="1"/>
    <col min="5" max="35" width="12.5703125" bestFit="1" customWidth="1"/>
    <col min="36" max="36" width="13.5703125" bestFit="1" customWidth="1"/>
  </cols>
  <sheetData>
    <row r="1" spans="2:36" ht="15.75" thickBot="1"/>
    <row r="2" spans="2:36" ht="34.5" customHeight="1" thickBot="1">
      <c r="B2" s="340" t="s">
        <v>9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</row>
    <row r="4" spans="2:36" ht="15.75" thickBot="1">
      <c r="B4" s="4"/>
      <c r="C4" s="5"/>
      <c r="D4" s="12" t="s">
        <v>57</v>
      </c>
      <c r="E4" s="13">
        <v>1</v>
      </c>
      <c r="F4" s="13">
        <v>2</v>
      </c>
      <c r="G4" s="13">
        <v>3</v>
      </c>
      <c r="H4" s="13">
        <v>4</v>
      </c>
      <c r="I4" s="13">
        <v>5</v>
      </c>
      <c r="J4" s="13">
        <v>6</v>
      </c>
      <c r="K4" s="13">
        <v>7</v>
      </c>
      <c r="L4" s="13">
        <v>8</v>
      </c>
      <c r="M4" s="13">
        <v>9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17</v>
      </c>
      <c r="V4" s="13">
        <v>18</v>
      </c>
      <c r="W4" s="13">
        <v>19</v>
      </c>
      <c r="X4" s="13">
        <v>20</v>
      </c>
      <c r="Y4" s="13">
        <v>21</v>
      </c>
      <c r="Z4" s="13">
        <v>22</v>
      </c>
      <c r="AA4" s="13">
        <v>23</v>
      </c>
      <c r="AB4" s="13">
        <v>24</v>
      </c>
      <c r="AC4" s="13">
        <v>25</v>
      </c>
      <c r="AD4" s="13">
        <v>26</v>
      </c>
      <c r="AE4" s="13">
        <v>27</v>
      </c>
      <c r="AF4" s="13">
        <v>28</v>
      </c>
      <c r="AG4" s="13">
        <v>29</v>
      </c>
      <c r="AH4" s="13">
        <v>30</v>
      </c>
      <c r="AI4" s="13">
        <v>31</v>
      </c>
      <c r="AJ4" s="27" t="s">
        <v>103</v>
      </c>
    </row>
    <row r="5" spans="2:36" ht="15.75" thickBot="1">
      <c r="B5" s="338" t="s">
        <v>127</v>
      </c>
      <c r="C5" s="336" t="s">
        <v>25</v>
      </c>
      <c r="D5" s="268" t="s">
        <v>30</v>
      </c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11">
        <f>SUM(E5:AI5)</f>
        <v>0</v>
      </c>
    </row>
    <row r="6" spans="2:36" ht="15.75" thickBot="1">
      <c r="B6" s="338"/>
      <c r="C6" s="336"/>
      <c r="D6" s="271" t="s">
        <v>26</v>
      </c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11">
        <f t="shared" ref="AJ6:AJ66" si="0">SUM(E6:AI6)</f>
        <v>0</v>
      </c>
    </row>
    <row r="7" spans="2:36" ht="15.75" thickBot="1">
      <c r="B7" s="338"/>
      <c r="C7" s="336"/>
      <c r="D7" s="271" t="s">
        <v>29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11">
        <f t="shared" si="0"/>
        <v>0</v>
      </c>
    </row>
    <row r="8" spans="2:36" ht="15.75" thickBot="1">
      <c r="B8" s="338"/>
      <c r="C8" s="336"/>
      <c r="D8" s="271" t="s">
        <v>27</v>
      </c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11">
        <f t="shared" si="0"/>
        <v>0</v>
      </c>
    </row>
    <row r="9" spans="2:36" ht="15.75" thickBot="1">
      <c r="B9" s="338"/>
      <c r="C9" s="336"/>
      <c r="D9" s="271" t="s">
        <v>28</v>
      </c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11">
        <f t="shared" si="0"/>
        <v>0</v>
      </c>
    </row>
    <row r="10" spans="2:36" ht="15.75" thickBot="1">
      <c r="B10" s="338"/>
      <c r="C10" s="336"/>
      <c r="D10" s="272" t="s">
        <v>86</v>
      </c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11">
        <f t="shared" si="0"/>
        <v>0</v>
      </c>
    </row>
    <row r="11" spans="2:36" ht="15.75" thickBot="1">
      <c r="B11" s="338"/>
      <c r="C11" s="336"/>
      <c r="D11" s="272" t="s">
        <v>87</v>
      </c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11">
        <f t="shared" si="0"/>
        <v>0</v>
      </c>
    </row>
    <row r="12" spans="2:36" ht="15.75" thickBot="1">
      <c r="B12" s="338"/>
      <c r="C12" s="336"/>
      <c r="D12" s="272" t="s">
        <v>52</v>
      </c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11">
        <f t="shared" si="0"/>
        <v>0</v>
      </c>
    </row>
    <row r="13" spans="2:36" ht="15.75" thickBot="1">
      <c r="B13" s="338"/>
      <c r="C13" s="336"/>
      <c r="D13" s="20" t="s">
        <v>17</v>
      </c>
      <c r="E13" s="21">
        <f>SUM(E5:E12)</f>
        <v>0</v>
      </c>
      <c r="F13" s="21">
        <f t="shared" ref="F13:AI13" si="1">SUM(F5:F11)</f>
        <v>0</v>
      </c>
      <c r="G13" s="21">
        <f t="shared" si="1"/>
        <v>0</v>
      </c>
      <c r="H13" s="21">
        <f t="shared" si="1"/>
        <v>0</v>
      </c>
      <c r="I13" s="21">
        <f t="shared" si="1"/>
        <v>0</v>
      </c>
      <c r="J13" s="21">
        <f t="shared" si="1"/>
        <v>0</v>
      </c>
      <c r="K13" s="21">
        <f t="shared" si="1"/>
        <v>0</v>
      </c>
      <c r="L13" s="21">
        <f t="shared" si="1"/>
        <v>0</v>
      </c>
      <c r="M13" s="21">
        <f t="shared" si="1"/>
        <v>0</v>
      </c>
      <c r="N13" s="21">
        <f t="shared" si="1"/>
        <v>0</v>
      </c>
      <c r="O13" s="21">
        <f t="shared" si="1"/>
        <v>0</v>
      </c>
      <c r="P13" s="21">
        <f t="shared" si="1"/>
        <v>0</v>
      </c>
      <c r="Q13" s="21">
        <f t="shared" si="1"/>
        <v>0</v>
      </c>
      <c r="R13" s="21">
        <f t="shared" si="1"/>
        <v>0</v>
      </c>
      <c r="S13" s="21">
        <f t="shared" si="1"/>
        <v>0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21">
        <f t="shared" si="1"/>
        <v>0</v>
      </c>
      <c r="AG13" s="21">
        <f t="shared" si="1"/>
        <v>0</v>
      </c>
      <c r="AH13" s="21">
        <f t="shared" si="1"/>
        <v>0</v>
      </c>
      <c r="AI13" s="21">
        <f t="shared" si="1"/>
        <v>0</v>
      </c>
      <c r="AJ13" s="19">
        <f t="shared" si="0"/>
        <v>0</v>
      </c>
    </row>
    <row r="14" spans="2:36" ht="15.75" thickBot="1">
      <c r="B14" s="338"/>
      <c r="C14" s="336" t="s">
        <v>23</v>
      </c>
      <c r="D14" s="273" t="s">
        <v>31</v>
      </c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11">
        <f t="shared" si="0"/>
        <v>0</v>
      </c>
    </row>
    <row r="15" spans="2:36" ht="15.75" thickBot="1">
      <c r="B15" s="338"/>
      <c r="C15" s="336"/>
      <c r="D15" s="271" t="s">
        <v>32</v>
      </c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11">
        <f t="shared" si="0"/>
        <v>0</v>
      </c>
    </row>
    <row r="16" spans="2:36" ht="15.75" thickBot="1">
      <c r="B16" s="338"/>
      <c r="C16" s="336"/>
      <c r="D16" s="271" t="s">
        <v>33</v>
      </c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11">
        <f t="shared" si="0"/>
        <v>0</v>
      </c>
    </row>
    <row r="17" spans="2:36" ht="15.75" thickBot="1">
      <c r="B17" s="338"/>
      <c r="C17" s="336"/>
      <c r="D17" s="271" t="s">
        <v>54</v>
      </c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  <c r="AJ17" s="11">
        <f t="shared" si="0"/>
        <v>0</v>
      </c>
    </row>
    <row r="18" spans="2:36" ht="15.75" thickBot="1">
      <c r="B18" s="338"/>
      <c r="C18" s="336"/>
      <c r="D18" s="271" t="s">
        <v>55</v>
      </c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  <c r="AJ18" s="11">
        <f t="shared" si="0"/>
        <v>0</v>
      </c>
    </row>
    <row r="19" spans="2:36" ht="15.75" thickBot="1">
      <c r="B19" s="338"/>
      <c r="C19" s="336"/>
      <c r="D19" s="271" t="s">
        <v>38</v>
      </c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  <c r="AF19" s="269"/>
      <c r="AG19" s="269"/>
      <c r="AH19" s="269"/>
      <c r="AI19" s="269"/>
      <c r="AJ19" s="11">
        <f t="shared" si="0"/>
        <v>0</v>
      </c>
    </row>
    <row r="20" spans="2:36" ht="15.75" thickBot="1">
      <c r="B20" s="338"/>
      <c r="C20" s="336"/>
      <c r="D20" s="271" t="s">
        <v>37</v>
      </c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  <c r="AF20" s="269"/>
      <c r="AG20" s="269"/>
      <c r="AH20" s="269"/>
      <c r="AI20" s="269"/>
      <c r="AJ20" s="11">
        <f t="shared" si="0"/>
        <v>0</v>
      </c>
    </row>
    <row r="21" spans="2:36" ht="15.75" thickBot="1">
      <c r="B21" s="338"/>
      <c r="C21" s="336"/>
      <c r="D21" s="271" t="s">
        <v>75</v>
      </c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  <c r="AF21" s="269"/>
      <c r="AG21" s="269"/>
      <c r="AH21" s="269"/>
      <c r="AI21" s="269"/>
      <c r="AJ21" s="11">
        <f t="shared" si="0"/>
        <v>0</v>
      </c>
    </row>
    <row r="22" spans="2:36" ht="15.75" thickBot="1">
      <c r="B22" s="338"/>
      <c r="C22" s="336"/>
      <c r="D22" s="271" t="s">
        <v>52</v>
      </c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  <c r="AF22" s="269"/>
      <c r="AG22" s="269"/>
      <c r="AH22" s="269"/>
      <c r="AI22" s="269"/>
      <c r="AJ22" s="11">
        <f t="shared" si="0"/>
        <v>0</v>
      </c>
    </row>
    <row r="23" spans="2:36" ht="15.75" thickBot="1">
      <c r="B23" s="338"/>
      <c r="C23" s="336"/>
      <c r="D23" s="22" t="s">
        <v>17</v>
      </c>
      <c r="E23" s="21">
        <f>SUM(E14:E22)</f>
        <v>0</v>
      </c>
      <c r="F23" s="21">
        <f t="shared" ref="F23:AI23" si="2">SUM(F14:F21)</f>
        <v>0</v>
      </c>
      <c r="G23" s="21">
        <f t="shared" si="2"/>
        <v>0</v>
      </c>
      <c r="H23" s="21">
        <f t="shared" si="2"/>
        <v>0</v>
      </c>
      <c r="I23" s="21">
        <f t="shared" si="2"/>
        <v>0</v>
      </c>
      <c r="J23" s="21">
        <f t="shared" si="2"/>
        <v>0</v>
      </c>
      <c r="K23" s="21">
        <f t="shared" si="2"/>
        <v>0</v>
      </c>
      <c r="L23" s="21">
        <f t="shared" si="2"/>
        <v>0</v>
      </c>
      <c r="M23" s="21">
        <f t="shared" si="2"/>
        <v>0</v>
      </c>
      <c r="N23" s="21">
        <f t="shared" si="2"/>
        <v>0</v>
      </c>
      <c r="O23" s="21">
        <f t="shared" si="2"/>
        <v>0</v>
      </c>
      <c r="P23" s="21">
        <f t="shared" si="2"/>
        <v>0</v>
      </c>
      <c r="Q23" s="21">
        <f t="shared" si="2"/>
        <v>0</v>
      </c>
      <c r="R23" s="21">
        <f t="shared" si="2"/>
        <v>0</v>
      </c>
      <c r="S23" s="21">
        <f t="shared" si="2"/>
        <v>0</v>
      </c>
      <c r="T23" s="21">
        <f t="shared" si="2"/>
        <v>0</v>
      </c>
      <c r="U23" s="21">
        <f t="shared" si="2"/>
        <v>0</v>
      </c>
      <c r="V23" s="21">
        <f t="shared" si="2"/>
        <v>0</v>
      </c>
      <c r="W23" s="21">
        <f t="shared" si="2"/>
        <v>0</v>
      </c>
      <c r="X23" s="21">
        <f t="shared" si="2"/>
        <v>0</v>
      </c>
      <c r="Y23" s="21">
        <f t="shared" si="2"/>
        <v>0</v>
      </c>
      <c r="Z23" s="21">
        <f t="shared" si="2"/>
        <v>0</v>
      </c>
      <c r="AA23" s="21">
        <f t="shared" si="2"/>
        <v>0</v>
      </c>
      <c r="AB23" s="21">
        <f t="shared" si="2"/>
        <v>0</v>
      </c>
      <c r="AC23" s="21">
        <f t="shared" si="2"/>
        <v>0</v>
      </c>
      <c r="AD23" s="21">
        <f t="shared" si="2"/>
        <v>0</v>
      </c>
      <c r="AE23" s="21">
        <f t="shared" si="2"/>
        <v>0</v>
      </c>
      <c r="AF23" s="21">
        <f t="shared" si="2"/>
        <v>0</v>
      </c>
      <c r="AG23" s="21">
        <f t="shared" si="2"/>
        <v>0</v>
      </c>
      <c r="AH23" s="21">
        <f t="shared" si="2"/>
        <v>0</v>
      </c>
      <c r="AI23" s="21">
        <f t="shared" si="2"/>
        <v>0</v>
      </c>
      <c r="AJ23" s="19">
        <f t="shared" si="0"/>
        <v>0</v>
      </c>
    </row>
    <row r="24" spans="2:36" ht="15.75" thickBot="1">
      <c r="B24" s="338"/>
      <c r="C24" s="336" t="s">
        <v>39</v>
      </c>
      <c r="D24" s="271" t="s">
        <v>40</v>
      </c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  <c r="AF24" s="269"/>
      <c r="AG24" s="269"/>
      <c r="AH24" s="269"/>
      <c r="AI24" s="269"/>
      <c r="AJ24" s="11">
        <f t="shared" si="0"/>
        <v>0</v>
      </c>
    </row>
    <row r="25" spans="2:36" ht="15.75" thickBot="1">
      <c r="B25" s="338"/>
      <c r="C25" s="336"/>
      <c r="D25" s="271" t="s">
        <v>41</v>
      </c>
      <c r="E25" s="269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  <c r="AF25" s="269"/>
      <c r="AG25" s="269"/>
      <c r="AH25" s="269"/>
      <c r="AI25" s="269"/>
      <c r="AJ25" s="11">
        <f t="shared" si="0"/>
        <v>0</v>
      </c>
    </row>
    <row r="26" spans="2:36" ht="15.75" thickBot="1">
      <c r="B26" s="338"/>
      <c r="C26" s="336"/>
      <c r="D26" s="271" t="s">
        <v>52</v>
      </c>
      <c r="E26" s="269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  <c r="AF26" s="269"/>
      <c r="AG26" s="269"/>
      <c r="AH26" s="269"/>
      <c r="AI26" s="269"/>
      <c r="AJ26" s="11">
        <f t="shared" si="0"/>
        <v>0</v>
      </c>
    </row>
    <row r="27" spans="2:36" ht="15.75" thickBot="1">
      <c r="B27" s="338"/>
      <c r="C27" s="336"/>
      <c r="D27" s="16" t="s">
        <v>17</v>
      </c>
      <c r="E27" s="17">
        <f>SUM(E24:E26)</f>
        <v>0</v>
      </c>
      <c r="F27" s="17">
        <f t="shared" ref="F27:AI27" si="3">SUM(F24:F25)</f>
        <v>0</v>
      </c>
      <c r="G27" s="17">
        <f t="shared" si="3"/>
        <v>0</v>
      </c>
      <c r="H27" s="17">
        <f t="shared" si="3"/>
        <v>0</v>
      </c>
      <c r="I27" s="17">
        <f t="shared" si="3"/>
        <v>0</v>
      </c>
      <c r="J27" s="17">
        <f t="shared" si="3"/>
        <v>0</v>
      </c>
      <c r="K27" s="17">
        <f t="shared" si="3"/>
        <v>0</v>
      </c>
      <c r="L27" s="17">
        <f t="shared" si="3"/>
        <v>0</v>
      </c>
      <c r="M27" s="17">
        <f t="shared" si="3"/>
        <v>0</v>
      </c>
      <c r="N27" s="17">
        <f t="shared" si="3"/>
        <v>0</v>
      </c>
      <c r="O27" s="17">
        <f t="shared" si="3"/>
        <v>0</v>
      </c>
      <c r="P27" s="17">
        <f t="shared" si="3"/>
        <v>0</v>
      </c>
      <c r="Q27" s="17">
        <f t="shared" si="3"/>
        <v>0</v>
      </c>
      <c r="R27" s="17">
        <f t="shared" si="3"/>
        <v>0</v>
      </c>
      <c r="S27" s="17">
        <f t="shared" si="3"/>
        <v>0</v>
      </c>
      <c r="T27" s="17">
        <f t="shared" si="3"/>
        <v>0</v>
      </c>
      <c r="U27" s="17">
        <f t="shared" si="3"/>
        <v>0</v>
      </c>
      <c r="V27" s="17">
        <f t="shared" si="3"/>
        <v>0</v>
      </c>
      <c r="W27" s="17">
        <f t="shared" si="3"/>
        <v>0</v>
      </c>
      <c r="X27" s="17">
        <f t="shared" si="3"/>
        <v>0</v>
      </c>
      <c r="Y27" s="17">
        <f t="shared" si="3"/>
        <v>0</v>
      </c>
      <c r="Z27" s="17">
        <f t="shared" si="3"/>
        <v>0</v>
      </c>
      <c r="AA27" s="17">
        <f t="shared" si="3"/>
        <v>0</v>
      </c>
      <c r="AB27" s="17">
        <f t="shared" si="3"/>
        <v>0</v>
      </c>
      <c r="AC27" s="17">
        <f t="shared" si="3"/>
        <v>0</v>
      </c>
      <c r="AD27" s="17">
        <f t="shared" si="3"/>
        <v>0</v>
      </c>
      <c r="AE27" s="17">
        <f t="shared" si="3"/>
        <v>0</v>
      </c>
      <c r="AF27" s="17">
        <f t="shared" si="3"/>
        <v>0</v>
      </c>
      <c r="AG27" s="17">
        <f t="shared" si="3"/>
        <v>0</v>
      </c>
      <c r="AH27" s="17">
        <f t="shared" si="3"/>
        <v>0</v>
      </c>
      <c r="AI27" s="17">
        <f t="shared" si="3"/>
        <v>0</v>
      </c>
      <c r="AJ27" s="19">
        <f t="shared" si="0"/>
        <v>0</v>
      </c>
    </row>
    <row r="28" spans="2:36" ht="15.75" thickBot="1">
      <c r="B28" s="338"/>
      <c r="C28" s="336" t="s">
        <v>45</v>
      </c>
      <c r="D28" s="271" t="s">
        <v>79</v>
      </c>
      <c r="E28" s="269"/>
      <c r="F28" s="270"/>
      <c r="G28" s="270"/>
      <c r="H28" s="270"/>
      <c r="I28" s="270"/>
      <c r="J28" s="270"/>
      <c r="K28" s="270"/>
      <c r="L28" s="270"/>
      <c r="M28" s="270"/>
      <c r="N28" s="270"/>
      <c r="O28" s="270"/>
      <c r="P28" s="270"/>
      <c r="Q28" s="270"/>
      <c r="R28" s="270"/>
      <c r="S28" s="270"/>
      <c r="T28" s="270"/>
      <c r="U28" s="270"/>
      <c r="V28" s="270"/>
      <c r="W28" s="270"/>
      <c r="X28" s="270"/>
      <c r="Y28" s="270"/>
      <c r="Z28" s="270"/>
      <c r="AA28" s="270"/>
      <c r="AB28" s="270"/>
      <c r="AC28" s="270"/>
      <c r="AD28" s="270"/>
      <c r="AE28" s="270"/>
      <c r="AF28" s="270"/>
      <c r="AG28" s="270"/>
      <c r="AH28" s="270"/>
      <c r="AI28" s="270"/>
      <c r="AJ28" s="11">
        <f t="shared" si="0"/>
        <v>0</v>
      </c>
    </row>
    <row r="29" spans="2:36" ht="15.75" thickBot="1">
      <c r="B29" s="338"/>
      <c r="C29" s="336"/>
      <c r="D29" s="271" t="s">
        <v>78</v>
      </c>
      <c r="E29" s="269"/>
      <c r="F29" s="270"/>
      <c r="G29" s="270"/>
      <c r="H29" s="270"/>
      <c r="I29" s="270"/>
      <c r="J29" s="270"/>
      <c r="K29" s="270"/>
      <c r="L29" s="270"/>
      <c r="M29" s="270"/>
      <c r="N29" s="270"/>
      <c r="O29" s="270"/>
      <c r="P29" s="270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11">
        <f t="shared" si="0"/>
        <v>0</v>
      </c>
    </row>
    <row r="30" spans="2:36" ht="15.75" thickBot="1">
      <c r="B30" s="338"/>
      <c r="C30" s="336"/>
      <c r="D30" s="271" t="s">
        <v>48</v>
      </c>
      <c r="E30" s="269"/>
      <c r="F30" s="270"/>
      <c r="G30" s="270"/>
      <c r="H30" s="270"/>
      <c r="I30" s="270"/>
      <c r="J30" s="270"/>
      <c r="K30" s="270"/>
      <c r="L30" s="270"/>
      <c r="M30" s="270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11">
        <f t="shared" si="0"/>
        <v>0</v>
      </c>
    </row>
    <row r="31" spans="2:36" ht="15.75" thickBot="1">
      <c r="B31" s="338"/>
      <c r="C31" s="336"/>
      <c r="D31" s="271" t="s">
        <v>52</v>
      </c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11">
        <f t="shared" si="0"/>
        <v>0</v>
      </c>
    </row>
    <row r="32" spans="2:36" ht="15.75" thickBot="1">
      <c r="B32" s="338"/>
      <c r="C32" s="336"/>
      <c r="D32" s="16" t="s">
        <v>17</v>
      </c>
      <c r="E32" s="17">
        <f>SUM(E28:E31)</f>
        <v>0</v>
      </c>
      <c r="F32" s="17">
        <f t="shared" ref="F32:AI32" si="4">SUM(F28:F30)</f>
        <v>0</v>
      </c>
      <c r="G32" s="17">
        <f t="shared" si="4"/>
        <v>0</v>
      </c>
      <c r="H32" s="17">
        <f t="shared" si="4"/>
        <v>0</v>
      </c>
      <c r="I32" s="17">
        <f t="shared" si="4"/>
        <v>0</v>
      </c>
      <c r="J32" s="17">
        <f t="shared" si="4"/>
        <v>0</v>
      </c>
      <c r="K32" s="17">
        <f t="shared" si="4"/>
        <v>0</v>
      </c>
      <c r="L32" s="17">
        <f t="shared" si="4"/>
        <v>0</v>
      </c>
      <c r="M32" s="17">
        <f t="shared" si="4"/>
        <v>0</v>
      </c>
      <c r="N32" s="17">
        <f t="shared" si="4"/>
        <v>0</v>
      </c>
      <c r="O32" s="17">
        <f t="shared" si="4"/>
        <v>0</v>
      </c>
      <c r="P32" s="17">
        <f t="shared" si="4"/>
        <v>0</v>
      </c>
      <c r="Q32" s="17">
        <f t="shared" si="4"/>
        <v>0</v>
      </c>
      <c r="R32" s="17">
        <f t="shared" si="4"/>
        <v>0</v>
      </c>
      <c r="S32" s="17">
        <f t="shared" si="4"/>
        <v>0</v>
      </c>
      <c r="T32" s="17">
        <f t="shared" si="4"/>
        <v>0</v>
      </c>
      <c r="U32" s="17">
        <f t="shared" si="4"/>
        <v>0</v>
      </c>
      <c r="V32" s="17">
        <f t="shared" si="4"/>
        <v>0</v>
      </c>
      <c r="W32" s="17">
        <f t="shared" si="4"/>
        <v>0</v>
      </c>
      <c r="X32" s="17">
        <f t="shared" si="4"/>
        <v>0</v>
      </c>
      <c r="Y32" s="17">
        <f t="shared" si="4"/>
        <v>0</v>
      </c>
      <c r="Z32" s="17">
        <f t="shared" si="4"/>
        <v>0</v>
      </c>
      <c r="AA32" s="17">
        <f t="shared" si="4"/>
        <v>0</v>
      </c>
      <c r="AB32" s="17">
        <f t="shared" si="4"/>
        <v>0</v>
      </c>
      <c r="AC32" s="17">
        <f t="shared" si="4"/>
        <v>0</v>
      </c>
      <c r="AD32" s="17">
        <f t="shared" si="4"/>
        <v>0</v>
      </c>
      <c r="AE32" s="17">
        <f t="shared" si="4"/>
        <v>0</v>
      </c>
      <c r="AF32" s="17">
        <f t="shared" si="4"/>
        <v>0</v>
      </c>
      <c r="AG32" s="17">
        <f t="shared" si="4"/>
        <v>0</v>
      </c>
      <c r="AH32" s="17">
        <f t="shared" si="4"/>
        <v>0</v>
      </c>
      <c r="AI32" s="17">
        <f t="shared" si="4"/>
        <v>0</v>
      </c>
      <c r="AJ32" s="19">
        <f t="shared" si="0"/>
        <v>0</v>
      </c>
    </row>
    <row r="33" spans="2:36" ht="15.75" thickBot="1">
      <c r="B33" s="338"/>
      <c r="C33" s="336" t="s">
        <v>22</v>
      </c>
      <c r="D33" s="271" t="s">
        <v>34</v>
      </c>
      <c r="E33" s="269"/>
      <c r="F33" s="270"/>
      <c r="G33" s="270"/>
      <c r="H33" s="270"/>
      <c r="I33" s="270"/>
      <c r="J33" s="270"/>
      <c r="K33" s="270"/>
      <c r="L33" s="270"/>
      <c r="M33" s="270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11">
        <f t="shared" si="0"/>
        <v>0</v>
      </c>
    </row>
    <row r="34" spans="2:36" ht="15.75" thickBot="1">
      <c r="B34" s="338"/>
      <c r="C34" s="336"/>
      <c r="D34" s="271" t="s">
        <v>35</v>
      </c>
      <c r="E34" s="269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11">
        <f t="shared" si="0"/>
        <v>0</v>
      </c>
    </row>
    <row r="35" spans="2:36" ht="15.75" thickBot="1">
      <c r="B35" s="338"/>
      <c r="C35" s="336"/>
      <c r="D35" s="271" t="s">
        <v>52</v>
      </c>
      <c r="E35" s="269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11">
        <f t="shared" si="0"/>
        <v>0</v>
      </c>
    </row>
    <row r="36" spans="2:36" ht="15.75" thickBot="1">
      <c r="B36" s="338"/>
      <c r="C36" s="336"/>
      <c r="D36" s="16" t="s">
        <v>17</v>
      </c>
      <c r="E36" s="17">
        <f>SUM(E33:E35)</f>
        <v>0</v>
      </c>
      <c r="F36" s="17">
        <f t="shared" ref="F36:AI36" si="5">SUM(F33:F34)</f>
        <v>0</v>
      </c>
      <c r="G36" s="17">
        <f t="shared" si="5"/>
        <v>0</v>
      </c>
      <c r="H36" s="17">
        <f t="shared" si="5"/>
        <v>0</v>
      </c>
      <c r="I36" s="17">
        <f t="shared" si="5"/>
        <v>0</v>
      </c>
      <c r="J36" s="17">
        <f t="shared" si="5"/>
        <v>0</v>
      </c>
      <c r="K36" s="17">
        <f t="shared" si="5"/>
        <v>0</v>
      </c>
      <c r="L36" s="17">
        <f t="shared" si="5"/>
        <v>0</v>
      </c>
      <c r="M36" s="17">
        <f t="shared" si="5"/>
        <v>0</v>
      </c>
      <c r="N36" s="17">
        <f t="shared" si="5"/>
        <v>0</v>
      </c>
      <c r="O36" s="17">
        <f t="shared" si="5"/>
        <v>0</v>
      </c>
      <c r="P36" s="17">
        <f t="shared" si="5"/>
        <v>0</v>
      </c>
      <c r="Q36" s="17">
        <f t="shared" si="5"/>
        <v>0</v>
      </c>
      <c r="R36" s="17">
        <f t="shared" si="5"/>
        <v>0</v>
      </c>
      <c r="S36" s="17">
        <f t="shared" si="5"/>
        <v>0</v>
      </c>
      <c r="T36" s="17">
        <f t="shared" si="5"/>
        <v>0</v>
      </c>
      <c r="U36" s="17">
        <f t="shared" si="5"/>
        <v>0</v>
      </c>
      <c r="V36" s="17">
        <f t="shared" si="5"/>
        <v>0</v>
      </c>
      <c r="W36" s="17">
        <f t="shared" si="5"/>
        <v>0</v>
      </c>
      <c r="X36" s="17">
        <f t="shared" si="5"/>
        <v>0</v>
      </c>
      <c r="Y36" s="17">
        <f t="shared" si="5"/>
        <v>0</v>
      </c>
      <c r="Z36" s="17">
        <f t="shared" si="5"/>
        <v>0</v>
      </c>
      <c r="AA36" s="17">
        <f t="shared" si="5"/>
        <v>0</v>
      </c>
      <c r="AB36" s="17">
        <f t="shared" si="5"/>
        <v>0</v>
      </c>
      <c r="AC36" s="17">
        <f t="shared" si="5"/>
        <v>0</v>
      </c>
      <c r="AD36" s="17">
        <f t="shared" si="5"/>
        <v>0</v>
      </c>
      <c r="AE36" s="17">
        <f t="shared" si="5"/>
        <v>0</v>
      </c>
      <c r="AF36" s="17">
        <f t="shared" si="5"/>
        <v>0</v>
      </c>
      <c r="AG36" s="17">
        <f t="shared" si="5"/>
        <v>0</v>
      </c>
      <c r="AH36" s="17">
        <f t="shared" si="5"/>
        <v>0</v>
      </c>
      <c r="AI36" s="17">
        <f t="shared" si="5"/>
        <v>0</v>
      </c>
      <c r="AJ36" s="19">
        <f t="shared" si="0"/>
        <v>0</v>
      </c>
    </row>
    <row r="37" spans="2:36" ht="15.75" thickBot="1">
      <c r="B37" s="338"/>
      <c r="C37" s="336" t="s">
        <v>58</v>
      </c>
      <c r="D37" s="274" t="s">
        <v>91</v>
      </c>
      <c r="E37" s="269"/>
      <c r="F37" s="270"/>
      <c r="G37" s="270"/>
      <c r="H37" s="270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11">
        <f t="shared" si="0"/>
        <v>0</v>
      </c>
    </row>
    <row r="38" spans="2:36" ht="15.75" thickBot="1">
      <c r="B38" s="338"/>
      <c r="C38" s="336"/>
      <c r="D38" s="271" t="s">
        <v>60</v>
      </c>
      <c r="E38" s="269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  <c r="AC38" s="270"/>
      <c r="AD38" s="270"/>
      <c r="AE38" s="270"/>
      <c r="AF38" s="270"/>
      <c r="AG38" s="270"/>
      <c r="AH38" s="270"/>
      <c r="AI38" s="270"/>
      <c r="AJ38" s="11">
        <f t="shared" si="0"/>
        <v>0</v>
      </c>
    </row>
    <row r="39" spans="2:36" ht="15.75" thickBot="1">
      <c r="B39" s="338"/>
      <c r="C39" s="336"/>
      <c r="D39" s="271" t="s">
        <v>61</v>
      </c>
      <c r="E39" s="269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0"/>
      <c r="AH39" s="270"/>
      <c r="AI39" s="270"/>
      <c r="AJ39" s="11">
        <f t="shared" si="0"/>
        <v>0</v>
      </c>
    </row>
    <row r="40" spans="2:36" ht="15.75" thickBot="1">
      <c r="B40" s="338"/>
      <c r="C40" s="336"/>
      <c r="D40" s="271" t="s">
        <v>62</v>
      </c>
      <c r="E40" s="269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270"/>
      <c r="V40" s="270"/>
      <c r="W40" s="270"/>
      <c r="X40" s="270"/>
      <c r="Y40" s="270"/>
      <c r="Z40" s="270"/>
      <c r="AA40" s="270"/>
      <c r="AB40" s="270"/>
      <c r="AC40" s="270"/>
      <c r="AD40" s="270"/>
      <c r="AE40" s="270"/>
      <c r="AF40" s="270"/>
      <c r="AG40" s="270"/>
      <c r="AH40" s="270"/>
      <c r="AI40" s="270"/>
      <c r="AJ40" s="11">
        <f t="shared" si="0"/>
        <v>0</v>
      </c>
    </row>
    <row r="41" spans="2:36" ht="15.75" thickBot="1">
      <c r="B41" s="338"/>
      <c r="C41" s="336"/>
      <c r="D41" s="271" t="s">
        <v>81</v>
      </c>
      <c r="E41" s="269"/>
      <c r="F41" s="270"/>
      <c r="G41" s="270"/>
      <c r="H41" s="270"/>
      <c r="I41" s="270"/>
      <c r="J41" s="270"/>
      <c r="K41" s="270"/>
      <c r="L41" s="270"/>
      <c r="M41" s="270"/>
      <c r="N41" s="270"/>
      <c r="O41" s="270"/>
      <c r="P41" s="270"/>
      <c r="Q41" s="27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  <c r="AC41" s="270"/>
      <c r="AD41" s="270"/>
      <c r="AE41" s="270"/>
      <c r="AF41" s="270"/>
      <c r="AG41" s="270"/>
      <c r="AH41" s="270"/>
      <c r="AI41" s="270"/>
      <c r="AJ41" s="11">
        <f t="shared" si="0"/>
        <v>0</v>
      </c>
    </row>
    <row r="42" spans="2:36" ht="15.75" thickBot="1">
      <c r="B42" s="338"/>
      <c r="C42" s="336"/>
      <c r="D42" s="271" t="s">
        <v>110</v>
      </c>
      <c r="E42" s="269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11">
        <f t="shared" si="0"/>
        <v>0</v>
      </c>
    </row>
    <row r="43" spans="2:36" ht="15.75" thickBot="1">
      <c r="B43" s="338"/>
      <c r="C43" s="336"/>
      <c r="D43" s="271" t="s">
        <v>52</v>
      </c>
      <c r="E43" s="269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69"/>
      <c r="Q43" s="269"/>
      <c r="R43" s="269"/>
      <c r="S43" s="269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11">
        <f t="shared" si="0"/>
        <v>0</v>
      </c>
    </row>
    <row r="44" spans="2:36" ht="15.75" thickBot="1">
      <c r="B44" s="338"/>
      <c r="C44" s="336"/>
      <c r="D44" s="16" t="s">
        <v>17</v>
      </c>
      <c r="E44" s="17">
        <f>SUM(E37:E43)</f>
        <v>0</v>
      </c>
      <c r="F44" s="17">
        <f t="shared" ref="F44:AI44" si="6">SUM(F37:F41)</f>
        <v>0</v>
      </c>
      <c r="G44" s="17">
        <f t="shared" si="6"/>
        <v>0</v>
      </c>
      <c r="H44" s="17">
        <f t="shared" si="6"/>
        <v>0</v>
      </c>
      <c r="I44" s="17">
        <f t="shared" si="6"/>
        <v>0</v>
      </c>
      <c r="J44" s="17">
        <f t="shared" si="6"/>
        <v>0</v>
      </c>
      <c r="K44" s="17">
        <f t="shared" si="6"/>
        <v>0</v>
      </c>
      <c r="L44" s="17">
        <f t="shared" si="6"/>
        <v>0</v>
      </c>
      <c r="M44" s="17">
        <f t="shared" si="6"/>
        <v>0</v>
      </c>
      <c r="N44" s="17">
        <f t="shared" si="6"/>
        <v>0</v>
      </c>
      <c r="O44" s="17">
        <f t="shared" si="6"/>
        <v>0</v>
      </c>
      <c r="P44" s="17">
        <f t="shared" si="6"/>
        <v>0</v>
      </c>
      <c r="Q44" s="17">
        <f t="shared" si="6"/>
        <v>0</v>
      </c>
      <c r="R44" s="17">
        <f t="shared" si="6"/>
        <v>0</v>
      </c>
      <c r="S44" s="17">
        <f t="shared" si="6"/>
        <v>0</v>
      </c>
      <c r="T44" s="17">
        <f t="shared" si="6"/>
        <v>0</v>
      </c>
      <c r="U44" s="17">
        <f t="shared" si="6"/>
        <v>0</v>
      </c>
      <c r="V44" s="17">
        <f t="shared" si="6"/>
        <v>0</v>
      </c>
      <c r="W44" s="17">
        <f t="shared" si="6"/>
        <v>0</v>
      </c>
      <c r="X44" s="17">
        <f t="shared" si="6"/>
        <v>0</v>
      </c>
      <c r="Y44" s="17">
        <f t="shared" si="6"/>
        <v>0</v>
      </c>
      <c r="Z44" s="17">
        <f t="shared" si="6"/>
        <v>0</v>
      </c>
      <c r="AA44" s="17">
        <f t="shared" si="6"/>
        <v>0</v>
      </c>
      <c r="AB44" s="17">
        <f t="shared" si="6"/>
        <v>0</v>
      </c>
      <c r="AC44" s="17">
        <f t="shared" si="6"/>
        <v>0</v>
      </c>
      <c r="AD44" s="17">
        <f t="shared" si="6"/>
        <v>0</v>
      </c>
      <c r="AE44" s="17">
        <f t="shared" si="6"/>
        <v>0</v>
      </c>
      <c r="AF44" s="17">
        <f t="shared" si="6"/>
        <v>0</v>
      </c>
      <c r="AG44" s="17">
        <f t="shared" si="6"/>
        <v>0</v>
      </c>
      <c r="AH44" s="17">
        <f t="shared" si="6"/>
        <v>0</v>
      </c>
      <c r="AI44" s="17">
        <f t="shared" si="6"/>
        <v>0</v>
      </c>
      <c r="AJ44" s="19">
        <f t="shared" si="0"/>
        <v>0</v>
      </c>
    </row>
    <row r="45" spans="2:36" ht="15.75" thickBot="1">
      <c r="B45" s="338"/>
      <c r="C45" s="336" t="s">
        <v>36</v>
      </c>
      <c r="D45" s="271" t="s">
        <v>63</v>
      </c>
      <c r="E45" s="269"/>
      <c r="F45" s="270"/>
      <c r="G45" s="270"/>
      <c r="H45" s="270"/>
      <c r="I45" s="270"/>
      <c r="J45" s="270"/>
      <c r="K45" s="270"/>
      <c r="L45" s="270"/>
      <c r="M45" s="270"/>
      <c r="N45" s="270"/>
      <c r="O45" s="270"/>
      <c r="P45" s="270"/>
      <c r="Q45" s="270"/>
      <c r="R45" s="270"/>
      <c r="S45" s="270"/>
      <c r="T45" s="270"/>
      <c r="U45" s="270"/>
      <c r="V45" s="270"/>
      <c r="W45" s="270"/>
      <c r="X45" s="270"/>
      <c r="Y45" s="270"/>
      <c r="Z45" s="270"/>
      <c r="AA45" s="270"/>
      <c r="AB45" s="270"/>
      <c r="AC45" s="270"/>
      <c r="AD45" s="270"/>
      <c r="AE45" s="270"/>
      <c r="AF45" s="270"/>
      <c r="AG45" s="270"/>
      <c r="AH45" s="270"/>
      <c r="AI45" s="270"/>
      <c r="AJ45" s="11">
        <f t="shared" si="0"/>
        <v>0</v>
      </c>
    </row>
    <row r="46" spans="2:36" ht="15.75" thickBot="1">
      <c r="B46" s="338"/>
      <c r="C46" s="336"/>
      <c r="D46" s="271" t="s">
        <v>64</v>
      </c>
      <c r="E46" s="269"/>
      <c r="F46" s="270"/>
      <c r="G46" s="270"/>
      <c r="H46" s="270"/>
      <c r="I46" s="270"/>
      <c r="J46" s="270"/>
      <c r="K46" s="270"/>
      <c r="L46" s="270"/>
      <c r="M46" s="270"/>
      <c r="N46" s="270"/>
      <c r="O46" s="270"/>
      <c r="P46" s="270"/>
      <c r="Q46" s="270"/>
      <c r="R46" s="270"/>
      <c r="S46" s="270"/>
      <c r="T46" s="270"/>
      <c r="U46" s="270"/>
      <c r="V46" s="270"/>
      <c r="W46" s="270"/>
      <c r="X46" s="270"/>
      <c r="Y46" s="270"/>
      <c r="Z46" s="270"/>
      <c r="AA46" s="270"/>
      <c r="AB46" s="270"/>
      <c r="AC46" s="270"/>
      <c r="AD46" s="270"/>
      <c r="AE46" s="270"/>
      <c r="AF46" s="270"/>
      <c r="AG46" s="270"/>
      <c r="AH46" s="270"/>
      <c r="AI46" s="270"/>
      <c r="AJ46" s="11">
        <f t="shared" si="0"/>
        <v>0</v>
      </c>
    </row>
    <row r="47" spans="2:36" ht="15.75" thickBot="1">
      <c r="B47" s="338"/>
      <c r="C47" s="336"/>
      <c r="D47" s="271" t="s">
        <v>52</v>
      </c>
      <c r="E47" s="269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69"/>
      <c r="S47" s="269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11">
        <f t="shared" si="0"/>
        <v>0</v>
      </c>
    </row>
    <row r="48" spans="2:36" ht="15.75" thickBot="1">
      <c r="B48" s="338"/>
      <c r="C48" s="336"/>
      <c r="D48" s="16" t="s">
        <v>17</v>
      </c>
      <c r="E48" s="17">
        <f>SUM(E45:E47)</f>
        <v>0</v>
      </c>
      <c r="F48" s="17">
        <f t="shared" ref="F48:AI48" si="7">SUM(F45:F46)</f>
        <v>0</v>
      </c>
      <c r="G48" s="17">
        <f t="shared" si="7"/>
        <v>0</v>
      </c>
      <c r="H48" s="17">
        <f t="shared" si="7"/>
        <v>0</v>
      </c>
      <c r="I48" s="17">
        <f t="shared" si="7"/>
        <v>0</v>
      </c>
      <c r="J48" s="17">
        <f t="shared" si="7"/>
        <v>0</v>
      </c>
      <c r="K48" s="17">
        <f t="shared" si="7"/>
        <v>0</v>
      </c>
      <c r="L48" s="17">
        <f t="shared" si="7"/>
        <v>0</v>
      </c>
      <c r="M48" s="17">
        <f t="shared" si="7"/>
        <v>0</v>
      </c>
      <c r="N48" s="17">
        <f t="shared" si="7"/>
        <v>0</v>
      </c>
      <c r="O48" s="17">
        <f t="shared" si="7"/>
        <v>0</v>
      </c>
      <c r="P48" s="17">
        <f t="shared" si="7"/>
        <v>0</v>
      </c>
      <c r="Q48" s="17">
        <f t="shared" si="7"/>
        <v>0</v>
      </c>
      <c r="R48" s="17">
        <f t="shared" si="7"/>
        <v>0</v>
      </c>
      <c r="S48" s="17">
        <f t="shared" si="7"/>
        <v>0</v>
      </c>
      <c r="T48" s="17">
        <f t="shared" si="7"/>
        <v>0</v>
      </c>
      <c r="U48" s="17">
        <f t="shared" si="7"/>
        <v>0</v>
      </c>
      <c r="V48" s="17">
        <f t="shared" si="7"/>
        <v>0</v>
      </c>
      <c r="W48" s="17">
        <f t="shared" si="7"/>
        <v>0</v>
      </c>
      <c r="X48" s="17">
        <f t="shared" si="7"/>
        <v>0</v>
      </c>
      <c r="Y48" s="17">
        <f t="shared" si="7"/>
        <v>0</v>
      </c>
      <c r="Z48" s="17">
        <f t="shared" si="7"/>
        <v>0</v>
      </c>
      <c r="AA48" s="17">
        <f t="shared" si="7"/>
        <v>0</v>
      </c>
      <c r="AB48" s="17">
        <f t="shared" si="7"/>
        <v>0</v>
      </c>
      <c r="AC48" s="17">
        <f t="shared" si="7"/>
        <v>0</v>
      </c>
      <c r="AD48" s="17">
        <f t="shared" si="7"/>
        <v>0</v>
      </c>
      <c r="AE48" s="17">
        <f t="shared" si="7"/>
        <v>0</v>
      </c>
      <c r="AF48" s="17">
        <f t="shared" si="7"/>
        <v>0</v>
      </c>
      <c r="AG48" s="17">
        <f t="shared" si="7"/>
        <v>0</v>
      </c>
      <c r="AH48" s="17">
        <f t="shared" si="7"/>
        <v>0</v>
      </c>
      <c r="AI48" s="17">
        <f t="shared" si="7"/>
        <v>0</v>
      </c>
      <c r="AJ48" s="19">
        <f>SUM(E48:AI48)</f>
        <v>0</v>
      </c>
    </row>
    <row r="49" spans="2:36" ht="15.75" thickBot="1">
      <c r="B49" s="338"/>
      <c r="C49" s="336" t="s">
        <v>65</v>
      </c>
      <c r="D49" s="271" t="s">
        <v>66</v>
      </c>
      <c r="E49" s="269"/>
      <c r="F49" s="270"/>
      <c r="G49" s="270"/>
      <c r="H49" s="270"/>
      <c r="I49" s="270"/>
      <c r="J49" s="270"/>
      <c r="K49" s="270"/>
      <c r="L49" s="270"/>
      <c r="M49" s="270"/>
      <c r="N49" s="270"/>
      <c r="O49" s="270"/>
      <c r="P49" s="270"/>
      <c r="Q49" s="270"/>
      <c r="R49" s="270"/>
      <c r="S49" s="270"/>
      <c r="T49" s="270"/>
      <c r="U49" s="270"/>
      <c r="V49" s="270"/>
      <c r="W49" s="270"/>
      <c r="X49" s="270"/>
      <c r="Y49" s="270"/>
      <c r="Z49" s="270"/>
      <c r="AA49" s="270"/>
      <c r="AB49" s="270"/>
      <c r="AC49" s="270"/>
      <c r="AD49" s="270"/>
      <c r="AE49" s="270"/>
      <c r="AF49" s="270"/>
      <c r="AG49" s="270"/>
      <c r="AH49" s="270"/>
      <c r="AI49" s="270"/>
      <c r="AJ49" s="11">
        <f t="shared" si="0"/>
        <v>0</v>
      </c>
    </row>
    <row r="50" spans="2:36" ht="15.75" thickBot="1">
      <c r="B50" s="338"/>
      <c r="C50" s="336"/>
      <c r="D50" s="271" t="s">
        <v>67</v>
      </c>
      <c r="E50" s="269"/>
      <c r="F50" s="270"/>
      <c r="G50" s="270"/>
      <c r="H50" s="270"/>
      <c r="I50" s="270"/>
      <c r="J50" s="270"/>
      <c r="K50" s="270"/>
      <c r="L50" s="270"/>
      <c r="M50" s="270"/>
      <c r="N50" s="270"/>
      <c r="O50" s="270"/>
      <c r="P50" s="270"/>
      <c r="Q50" s="270"/>
      <c r="R50" s="270"/>
      <c r="S50" s="270"/>
      <c r="T50" s="270"/>
      <c r="U50" s="270"/>
      <c r="V50" s="270"/>
      <c r="W50" s="270"/>
      <c r="X50" s="270"/>
      <c r="Y50" s="270"/>
      <c r="Z50" s="270"/>
      <c r="AA50" s="270"/>
      <c r="AB50" s="270"/>
      <c r="AC50" s="270"/>
      <c r="AD50" s="270"/>
      <c r="AE50" s="270"/>
      <c r="AF50" s="270"/>
      <c r="AG50" s="270"/>
      <c r="AH50" s="270"/>
      <c r="AI50" s="270"/>
      <c r="AJ50" s="11">
        <f t="shared" si="0"/>
        <v>0</v>
      </c>
    </row>
    <row r="51" spans="2:36" ht="15.75" thickBot="1">
      <c r="B51" s="338"/>
      <c r="C51" s="336"/>
      <c r="D51" s="271" t="s">
        <v>52</v>
      </c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69"/>
      <c r="Q51" s="269"/>
      <c r="R51" s="269"/>
      <c r="S51" s="269"/>
      <c r="T51" s="269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11">
        <f t="shared" si="0"/>
        <v>0</v>
      </c>
    </row>
    <row r="52" spans="2:36" ht="15.75" thickBot="1">
      <c r="B52" s="338"/>
      <c r="C52" s="336"/>
      <c r="D52" s="16" t="s">
        <v>17</v>
      </c>
      <c r="E52" s="17">
        <f>SUM(E49:E51)</f>
        <v>0</v>
      </c>
      <c r="F52" s="17">
        <f t="shared" ref="F52:AI52" si="8">SUM(F49:F50)</f>
        <v>0</v>
      </c>
      <c r="G52" s="17">
        <f t="shared" si="8"/>
        <v>0</v>
      </c>
      <c r="H52" s="17">
        <f t="shared" si="8"/>
        <v>0</v>
      </c>
      <c r="I52" s="17">
        <f t="shared" si="8"/>
        <v>0</v>
      </c>
      <c r="J52" s="17">
        <f t="shared" si="8"/>
        <v>0</v>
      </c>
      <c r="K52" s="17">
        <f t="shared" si="8"/>
        <v>0</v>
      </c>
      <c r="L52" s="17">
        <f t="shared" si="8"/>
        <v>0</v>
      </c>
      <c r="M52" s="17">
        <f t="shared" si="8"/>
        <v>0</v>
      </c>
      <c r="N52" s="17">
        <f t="shared" si="8"/>
        <v>0</v>
      </c>
      <c r="O52" s="17">
        <f t="shared" si="8"/>
        <v>0</v>
      </c>
      <c r="P52" s="17">
        <f t="shared" si="8"/>
        <v>0</v>
      </c>
      <c r="Q52" s="17">
        <f t="shared" si="8"/>
        <v>0</v>
      </c>
      <c r="R52" s="17">
        <f t="shared" si="8"/>
        <v>0</v>
      </c>
      <c r="S52" s="17">
        <f t="shared" si="8"/>
        <v>0</v>
      </c>
      <c r="T52" s="17">
        <f t="shared" si="8"/>
        <v>0</v>
      </c>
      <c r="U52" s="17">
        <f t="shared" si="8"/>
        <v>0</v>
      </c>
      <c r="V52" s="17">
        <f t="shared" si="8"/>
        <v>0</v>
      </c>
      <c r="W52" s="17">
        <f t="shared" si="8"/>
        <v>0</v>
      </c>
      <c r="X52" s="17">
        <f t="shared" si="8"/>
        <v>0</v>
      </c>
      <c r="Y52" s="17">
        <f t="shared" si="8"/>
        <v>0</v>
      </c>
      <c r="Z52" s="17">
        <f t="shared" si="8"/>
        <v>0</v>
      </c>
      <c r="AA52" s="17">
        <f t="shared" si="8"/>
        <v>0</v>
      </c>
      <c r="AB52" s="17">
        <f t="shared" si="8"/>
        <v>0</v>
      </c>
      <c r="AC52" s="17">
        <f t="shared" si="8"/>
        <v>0</v>
      </c>
      <c r="AD52" s="17">
        <f t="shared" si="8"/>
        <v>0</v>
      </c>
      <c r="AE52" s="17">
        <f t="shared" si="8"/>
        <v>0</v>
      </c>
      <c r="AF52" s="17">
        <f t="shared" si="8"/>
        <v>0</v>
      </c>
      <c r="AG52" s="17">
        <f t="shared" si="8"/>
        <v>0</v>
      </c>
      <c r="AH52" s="17">
        <f t="shared" si="8"/>
        <v>0</v>
      </c>
      <c r="AI52" s="17">
        <f t="shared" si="8"/>
        <v>0</v>
      </c>
      <c r="AJ52" s="19">
        <f t="shared" si="0"/>
        <v>0</v>
      </c>
    </row>
    <row r="53" spans="2:36" ht="15.75" thickBot="1">
      <c r="B53" s="338"/>
      <c r="C53" s="336" t="s">
        <v>68</v>
      </c>
      <c r="D53" s="271" t="s">
        <v>69</v>
      </c>
      <c r="E53" s="269"/>
      <c r="F53" s="270"/>
      <c r="G53" s="270"/>
      <c r="H53" s="270"/>
      <c r="I53" s="270"/>
      <c r="J53" s="270"/>
      <c r="K53" s="270"/>
      <c r="L53" s="270"/>
      <c r="M53" s="270"/>
      <c r="N53" s="270"/>
      <c r="O53" s="270"/>
      <c r="P53" s="270"/>
      <c r="Q53" s="270"/>
      <c r="R53" s="270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  <c r="AC53" s="270"/>
      <c r="AD53" s="270"/>
      <c r="AE53" s="270"/>
      <c r="AF53" s="270"/>
      <c r="AG53" s="270"/>
      <c r="AH53" s="270"/>
      <c r="AI53" s="270"/>
      <c r="AJ53" s="11">
        <f t="shared" si="0"/>
        <v>0</v>
      </c>
    </row>
    <row r="54" spans="2:36" ht="15.75" thickBot="1">
      <c r="B54" s="338"/>
      <c r="C54" s="336"/>
      <c r="D54" s="271" t="s">
        <v>70</v>
      </c>
      <c r="E54" s="269"/>
      <c r="F54" s="270"/>
      <c r="G54" s="270"/>
      <c r="H54" s="270"/>
      <c r="I54" s="270"/>
      <c r="J54" s="270"/>
      <c r="K54" s="270"/>
      <c r="L54" s="270"/>
      <c r="M54" s="270"/>
      <c r="N54" s="270"/>
      <c r="O54" s="270"/>
      <c r="P54" s="270"/>
      <c r="Q54" s="270"/>
      <c r="R54" s="270"/>
      <c r="S54" s="270"/>
      <c r="T54" s="270"/>
      <c r="U54" s="270"/>
      <c r="V54" s="270"/>
      <c r="W54" s="270"/>
      <c r="X54" s="270"/>
      <c r="Y54" s="270"/>
      <c r="Z54" s="270"/>
      <c r="AA54" s="270"/>
      <c r="AB54" s="270"/>
      <c r="AC54" s="270"/>
      <c r="AD54" s="270"/>
      <c r="AE54" s="270"/>
      <c r="AF54" s="270"/>
      <c r="AG54" s="270"/>
      <c r="AH54" s="270"/>
      <c r="AI54" s="270"/>
      <c r="AJ54" s="11">
        <f t="shared" si="0"/>
        <v>0</v>
      </c>
    </row>
    <row r="55" spans="2:36" ht="15.75" thickBot="1">
      <c r="B55" s="338"/>
      <c r="C55" s="336"/>
      <c r="D55" s="271" t="s">
        <v>71</v>
      </c>
      <c r="E55" s="269"/>
      <c r="F55" s="270"/>
      <c r="G55" s="270"/>
      <c r="H55" s="270"/>
      <c r="I55" s="270"/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T55" s="270"/>
      <c r="U55" s="270"/>
      <c r="V55" s="270"/>
      <c r="W55" s="270"/>
      <c r="X55" s="270"/>
      <c r="Y55" s="270"/>
      <c r="Z55" s="270"/>
      <c r="AA55" s="270"/>
      <c r="AB55" s="270"/>
      <c r="AC55" s="270"/>
      <c r="AD55" s="270"/>
      <c r="AE55" s="270"/>
      <c r="AF55" s="270"/>
      <c r="AG55" s="270"/>
      <c r="AH55" s="270"/>
      <c r="AI55" s="270"/>
      <c r="AJ55" s="11">
        <f t="shared" si="0"/>
        <v>0</v>
      </c>
    </row>
    <row r="56" spans="2:36" ht="15.75" thickBot="1">
      <c r="B56" s="338"/>
      <c r="C56" s="336"/>
      <c r="D56" s="271" t="s">
        <v>52</v>
      </c>
      <c r="E56" s="269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269"/>
      <c r="Q56" s="269"/>
      <c r="R56" s="269"/>
      <c r="S56" s="269"/>
      <c r="T56" s="269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11">
        <f t="shared" si="0"/>
        <v>0</v>
      </c>
    </row>
    <row r="57" spans="2:36" ht="15.75" thickBot="1">
      <c r="B57" s="338"/>
      <c r="C57" s="336"/>
      <c r="D57" s="16" t="s">
        <v>17</v>
      </c>
      <c r="E57" s="17">
        <f>SUM(E53:E56)</f>
        <v>0</v>
      </c>
      <c r="F57" s="17">
        <f t="shared" ref="F57:AI57" si="9">SUM(F53:F55)</f>
        <v>0</v>
      </c>
      <c r="G57" s="17">
        <f t="shared" si="9"/>
        <v>0</v>
      </c>
      <c r="H57" s="17">
        <f t="shared" si="9"/>
        <v>0</v>
      </c>
      <c r="I57" s="17">
        <f t="shared" si="9"/>
        <v>0</v>
      </c>
      <c r="J57" s="17">
        <f t="shared" si="9"/>
        <v>0</v>
      </c>
      <c r="K57" s="17">
        <f t="shared" si="9"/>
        <v>0</v>
      </c>
      <c r="L57" s="17">
        <f t="shared" si="9"/>
        <v>0</v>
      </c>
      <c r="M57" s="17">
        <f t="shared" si="9"/>
        <v>0</v>
      </c>
      <c r="N57" s="17">
        <f t="shared" si="9"/>
        <v>0</v>
      </c>
      <c r="O57" s="17">
        <f t="shared" si="9"/>
        <v>0</v>
      </c>
      <c r="P57" s="17">
        <f t="shared" si="9"/>
        <v>0</v>
      </c>
      <c r="Q57" s="17">
        <f t="shared" si="9"/>
        <v>0</v>
      </c>
      <c r="R57" s="17">
        <f t="shared" si="9"/>
        <v>0</v>
      </c>
      <c r="S57" s="17">
        <f t="shared" si="9"/>
        <v>0</v>
      </c>
      <c r="T57" s="17">
        <f t="shared" si="9"/>
        <v>0</v>
      </c>
      <c r="U57" s="17">
        <f t="shared" si="9"/>
        <v>0</v>
      </c>
      <c r="V57" s="17">
        <f t="shared" si="9"/>
        <v>0</v>
      </c>
      <c r="W57" s="17">
        <f t="shared" si="9"/>
        <v>0</v>
      </c>
      <c r="X57" s="17">
        <f t="shared" si="9"/>
        <v>0</v>
      </c>
      <c r="Y57" s="17">
        <f t="shared" si="9"/>
        <v>0</v>
      </c>
      <c r="Z57" s="17">
        <f t="shared" si="9"/>
        <v>0</v>
      </c>
      <c r="AA57" s="17">
        <f t="shared" si="9"/>
        <v>0</v>
      </c>
      <c r="AB57" s="17">
        <f t="shared" si="9"/>
        <v>0</v>
      </c>
      <c r="AC57" s="17">
        <f t="shared" si="9"/>
        <v>0</v>
      </c>
      <c r="AD57" s="17">
        <f t="shared" si="9"/>
        <v>0</v>
      </c>
      <c r="AE57" s="17">
        <f t="shared" si="9"/>
        <v>0</v>
      </c>
      <c r="AF57" s="17">
        <f t="shared" si="9"/>
        <v>0</v>
      </c>
      <c r="AG57" s="17">
        <f t="shared" si="9"/>
        <v>0</v>
      </c>
      <c r="AH57" s="17">
        <f t="shared" si="9"/>
        <v>0</v>
      </c>
      <c r="AI57" s="17">
        <f t="shared" si="9"/>
        <v>0</v>
      </c>
      <c r="AJ57" s="19">
        <f t="shared" si="0"/>
        <v>0</v>
      </c>
    </row>
    <row r="58" spans="2:36" ht="15.75" thickBot="1">
      <c r="B58" s="338"/>
      <c r="C58" s="336" t="s">
        <v>107</v>
      </c>
      <c r="D58" s="275" t="s">
        <v>88</v>
      </c>
      <c r="E58" s="269"/>
      <c r="F58" s="270"/>
      <c r="G58" s="270"/>
      <c r="H58" s="270"/>
      <c r="I58" s="270"/>
      <c r="J58" s="270"/>
      <c r="K58" s="270"/>
      <c r="L58" s="270"/>
      <c r="M58" s="270"/>
      <c r="N58" s="270"/>
      <c r="O58" s="270"/>
      <c r="P58" s="270"/>
      <c r="Q58" s="270"/>
      <c r="R58" s="270"/>
      <c r="S58" s="270"/>
      <c r="T58" s="270"/>
      <c r="U58" s="270"/>
      <c r="V58" s="270"/>
      <c r="W58" s="270"/>
      <c r="X58" s="270"/>
      <c r="Y58" s="270"/>
      <c r="Z58" s="270"/>
      <c r="AA58" s="270"/>
      <c r="AB58" s="270"/>
      <c r="AC58" s="270"/>
      <c r="AD58" s="270"/>
      <c r="AE58" s="270"/>
      <c r="AF58" s="270"/>
      <c r="AG58" s="270"/>
      <c r="AH58" s="270"/>
      <c r="AI58" s="270"/>
      <c r="AJ58" s="11">
        <f t="shared" si="0"/>
        <v>0</v>
      </c>
    </row>
    <row r="59" spans="2:36" ht="15.75" thickBot="1">
      <c r="B59" s="338"/>
      <c r="C59" s="336"/>
      <c r="D59" s="275" t="s">
        <v>89</v>
      </c>
      <c r="E59" s="269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  <c r="AC59" s="270"/>
      <c r="AD59" s="270"/>
      <c r="AE59" s="270"/>
      <c r="AF59" s="270"/>
      <c r="AG59" s="270"/>
      <c r="AH59" s="270"/>
      <c r="AI59" s="270"/>
      <c r="AJ59" s="11">
        <f t="shared" si="0"/>
        <v>0</v>
      </c>
    </row>
    <row r="60" spans="2:36" ht="15.75" thickBot="1">
      <c r="B60" s="338"/>
      <c r="C60" s="336"/>
      <c r="D60" s="275" t="s">
        <v>52</v>
      </c>
      <c r="E60" s="269"/>
      <c r="F60" s="269"/>
      <c r="G60" s="269"/>
      <c r="H60" s="269"/>
      <c r="I60" s="269"/>
      <c r="J60" s="269"/>
      <c r="K60" s="269"/>
      <c r="L60" s="269"/>
      <c r="M60" s="269"/>
      <c r="N60" s="269"/>
      <c r="O60" s="269"/>
      <c r="P60" s="269"/>
      <c r="Q60" s="269"/>
      <c r="R60" s="269"/>
      <c r="S60" s="269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11">
        <f t="shared" si="0"/>
        <v>0</v>
      </c>
    </row>
    <row r="61" spans="2:36" ht="15.75" thickBot="1">
      <c r="B61" s="338"/>
      <c r="C61" s="336"/>
      <c r="D61" s="18" t="s">
        <v>17</v>
      </c>
      <c r="E61" s="17">
        <f>SUM(E58:E60)</f>
        <v>0</v>
      </c>
      <c r="F61" s="17">
        <f t="shared" ref="F61:AI61" si="10">SUM(F58:F59)</f>
        <v>0</v>
      </c>
      <c r="G61" s="17">
        <f t="shared" si="10"/>
        <v>0</v>
      </c>
      <c r="H61" s="17">
        <f t="shared" si="10"/>
        <v>0</v>
      </c>
      <c r="I61" s="17">
        <f t="shared" si="10"/>
        <v>0</v>
      </c>
      <c r="J61" s="17">
        <f t="shared" si="10"/>
        <v>0</v>
      </c>
      <c r="K61" s="17">
        <f t="shared" si="10"/>
        <v>0</v>
      </c>
      <c r="L61" s="17">
        <f t="shared" si="10"/>
        <v>0</v>
      </c>
      <c r="M61" s="17">
        <f t="shared" si="10"/>
        <v>0</v>
      </c>
      <c r="N61" s="17">
        <f t="shared" si="10"/>
        <v>0</v>
      </c>
      <c r="O61" s="17">
        <f t="shared" si="10"/>
        <v>0</v>
      </c>
      <c r="P61" s="17">
        <f t="shared" si="10"/>
        <v>0</v>
      </c>
      <c r="Q61" s="17">
        <f t="shared" si="10"/>
        <v>0</v>
      </c>
      <c r="R61" s="17">
        <f t="shared" si="10"/>
        <v>0</v>
      </c>
      <c r="S61" s="17">
        <f t="shared" si="10"/>
        <v>0</v>
      </c>
      <c r="T61" s="17">
        <f t="shared" si="10"/>
        <v>0</v>
      </c>
      <c r="U61" s="17">
        <f t="shared" si="10"/>
        <v>0</v>
      </c>
      <c r="V61" s="17">
        <f t="shared" si="10"/>
        <v>0</v>
      </c>
      <c r="W61" s="17">
        <f t="shared" si="10"/>
        <v>0</v>
      </c>
      <c r="X61" s="17">
        <f t="shared" si="10"/>
        <v>0</v>
      </c>
      <c r="Y61" s="17">
        <f t="shared" si="10"/>
        <v>0</v>
      </c>
      <c r="Z61" s="17">
        <f t="shared" si="10"/>
        <v>0</v>
      </c>
      <c r="AA61" s="17">
        <f t="shared" si="10"/>
        <v>0</v>
      </c>
      <c r="AB61" s="17">
        <f t="shared" si="10"/>
        <v>0</v>
      </c>
      <c r="AC61" s="17">
        <f t="shared" si="10"/>
        <v>0</v>
      </c>
      <c r="AD61" s="17">
        <f t="shared" si="10"/>
        <v>0</v>
      </c>
      <c r="AE61" s="17">
        <f t="shared" si="10"/>
        <v>0</v>
      </c>
      <c r="AF61" s="17">
        <f t="shared" si="10"/>
        <v>0</v>
      </c>
      <c r="AG61" s="17">
        <f t="shared" si="10"/>
        <v>0</v>
      </c>
      <c r="AH61" s="17">
        <f t="shared" si="10"/>
        <v>0</v>
      </c>
      <c r="AI61" s="17">
        <f t="shared" si="10"/>
        <v>0</v>
      </c>
      <c r="AJ61" s="19">
        <f t="shared" si="0"/>
        <v>0</v>
      </c>
    </row>
    <row r="62" spans="2:36" ht="15.75" thickBot="1">
      <c r="B62" s="338"/>
      <c r="C62" s="336" t="s">
        <v>72</v>
      </c>
      <c r="D62" s="275" t="s">
        <v>73</v>
      </c>
      <c r="E62" s="269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0"/>
      <c r="T62" s="270"/>
      <c r="U62" s="270"/>
      <c r="V62" s="270"/>
      <c r="W62" s="270"/>
      <c r="X62" s="270"/>
      <c r="Y62" s="270"/>
      <c r="Z62" s="270"/>
      <c r="AA62" s="270"/>
      <c r="AB62" s="270"/>
      <c r="AC62" s="270"/>
      <c r="AD62" s="270"/>
      <c r="AE62" s="270"/>
      <c r="AF62" s="270"/>
      <c r="AG62" s="270"/>
      <c r="AH62" s="270"/>
      <c r="AI62" s="270"/>
      <c r="AJ62" s="11">
        <f t="shared" si="0"/>
        <v>0</v>
      </c>
    </row>
    <row r="63" spans="2:36" ht="15.75" thickBot="1">
      <c r="B63" s="338"/>
      <c r="C63" s="336"/>
      <c r="D63" s="269" t="s">
        <v>56</v>
      </c>
      <c r="E63" s="270"/>
      <c r="F63" s="270"/>
      <c r="G63" s="270"/>
      <c r="H63" s="270"/>
      <c r="I63" s="270"/>
      <c r="J63" s="270"/>
      <c r="K63" s="270"/>
      <c r="L63" s="270"/>
      <c r="M63" s="270"/>
      <c r="N63" s="270"/>
      <c r="O63" s="270"/>
      <c r="P63" s="270"/>
      <c r="Q63" s="270"/>
      <c r="R63" s="270"/>
      <c r="S63" s="270"/>
      <c r="T63" s="270"/>
      <c r="U63" s="270"/>
      <c r="V63" s="270"/>
      <c r="W63" s="270"/>
      <c r="X63" s="270"/>
      <c r="Y63" s="270"/>
      <c r="Z63" s="270"/>
      <c r="AA63" s="270"/>
      <c r="AB63" s="270"/>
      <c r="AC63" s="270"/>
      <c r="AD63" s="270"/>
      <c r="AE63" s="270"/>
      <c r="AF63" s="270"/>
      <c r="AG63" s="270"/>
      <c r="AH63" s="270"/>
      <c r="AI63" s="270"/>
      <c r="AJ63" s="11">
        <f t="shared" si="0"/>
        <v>0</v>
      </c>
    </row>
    <row r="64" spans="2:36" ht="15.75" thickBot="1">
      <c r="B64" s="338"/>
      <c r="C64" s="336"/>
      <c r="D64" s="269" t="s">
        <v>52</v>
      </c>
      <c r="E64" s="270"/>
      <c r="F64" s="270"/>
      <c r="G64" s="270"/>
      <c r="H64" s="270"/>
      <c r="I64" s="270"/>
      <c r="J64" s="270"/>
      <c r="K64" s="270"/>
      <c r="L64" s="270"/>
      <c r="M64" s="270"/>
      <c r="N64" s="270"/>
      <c r="O64" s="270"/>
      <c r="P64" s="270"/>
      <c r="Q64" s="270"/>
      <c r="R64" s="270"/>
      <c r="S64" s="270"/>
      <c r="T64" s="270"/>
      <c r="U64" s="270"/>
      <c r="V64" s="270"/>
      <c r="W64" s="270"/>
      <c r="X64" s="270"/>
      <c r="Y64" s="270"/>
      <c r="Z64" s="270"/>
      <c r="AA64" s="270"/>
      <c r="AB64" s="270"/>
      <c r="AC64" s="270"/>
      <c r="AD64" s="270"/>
      <c r="AE64" s="270"/>
      <c r="AF64" s="270"/>
      <c r="AG64" s="270"/>
      <c r="AH64" s="270"/>
      <c r="AI64" s="270"/>
      <c r="AJ64" s="11">
        <f t="shared" si="0"/>
        <v>0</v>
      </c>
    </row>
    <row r="65" spans="2:36" ht="15.75" thickBot="1">
      <c r="B65" s="338"/>
      <c r="C65" s="336"/>
      <c r="D65" s="17" t="s">
        <v>17</v>
      </c>
      <c r="E65" s="19">
        <f>SUM(E62:E64)</f>
        <v>0</v>
      </c>
      <c r="F65" s="19">
        <f t="shared" ref="F65:AI65" si="11">SUM(F62:F63)</f>
        <v>0</v>
      </c>
      <c r="G65" s="19">
        <f t="shared" si="11"/>
        <v>0</v>
      </c>
      <c r="H65" s="19">
        <f t="shared" si="11"/>
        <v>0</v>
      </c>
      <c r="I65" s="19">
        <f t="shared" si="11"/>
        <v>0</v>
      </c>
      <c r="J65" s="19">
        <f t="shared" si="11"/>
        <v>0</v>
      </c>
      <c r="K65" s="19">
        <f t="shared" si="11"/>
        <v>0</v>
      </c>
      <c r="L65" s="19">
        <f t="shared" si="11"/>
        <v>0</v>
      </c>
      <c r="M65" s="19">
        <f t="shared" si="11"/>
        <v>0</v>
      </c>
      <c r="N65" s="19">
        <f t="shared" si="11"/>
        <v>0</v>
      </c>
      <c r="O65" s="19">
        <f t="shared" si="11"/>
        <v>0</v>
      </c>
      <c r="P65" s="19">
        <f t="shared" si="11"/>
        <v>0</v>
      </c>
      <c r="Q65" s="19">
        <f t="shared" si="11"/>
        <v>0</v>
      </c>
      <c r="R65" s="19">
        <f t="shared" si="11"/>
        <v>0</v>
      </c>
      <c r="S65" s="19">
        <f t="shared" si="11"/>
        <v>0</v>
      </c>
      <c r="T65" s="19">
        <f t="shared" si="11"/>
        <v>0</v>
      </c>
      <c r="U65" s="19">
        <f t="shared" si="11"/>
        <v>0</v>
      </c>
      <c r="V65" s="19">
        <f t="shared" si="11"/>
        <v>0</v>
      </c>
      <c r="W65" s="19">
        <f t="shared" si="11"/>
        <v>0</v>
      </c>
      <c r="X65" s="19">
        <f t="shared" si="11"/>
        <v>0</v>
      </c>
      <c r="Y65" s="19">
        <f t="shared" si="11"/>
        <v>0</v>
      </c>
      <c r="Z65" s="19">
        <f t="shared" si="11"/>
        <v>0</v>
      </c>
      <c r="AA65" s="19">
        <f t="shared" si="11"/>
        <v>0</v>
      </c>
      <c r="AB65" s="19">
        <f t="shared" si="11"/>
        <v>0</v>
      </c>
      <c r="AC65" s="19">
        <f t="shared" si="11"/>
        <v>0</v>
      </c>
      <c r="AD65" s="19">
        <f t="shared" si="11"/>
        <v>0</v>
      </c>
      <c r="AE65" s="19">
        <f t="shared" si="11"/>
        <v>0</v>
      </c>
      <c r="AF65" s="19">
        <f t="shared" si="11"/>
        <v>0</v>
      </c>
      <c r="AG65" s="19">
        <f t="shared" si="11"/>
        <v>0</v>
      </c>
      <c r="AH65" s="19">
        <f t="shared" si="11"/>
        <v>0</v>
      </c>
      <c r="AI65" s="19">
        <f t="shared" si="11"/>
        <v>0</v>
      </c>
      <c r="AJ65" s="19">
        <f t="shared" si="0"/>
        <v>0</v>
      </c>
    </row>
    <row r="66" spans="2:36">
      <c r="B66" s="5"/>
      <c r="C66" s="5"/>
      <c r="D66" s="14" t="s">
        <v>104</v>
      </c>
      <c r="E66" s="14">
        <f t="shared" ref="E66:AI66" si="12">SUM(E13,E23,E27,E32,E36,E44,E48,E52,E57,E61,E65)</f>
        <v>0</v>
      </c>
      <c r="F66" s="14">
        <f t="shared" si="12"/>
        <v>0</v>
      </c>
      <c r="G66" s="14">
        <f t="shared" si="12"/>
        <v>0</v>
      </c>
      <c r="H66" s="14">
        <f t="shared" si="12"/>
        <v>0</v>
      </c>
      <c r="I66" s="14">
        <f t="shared" si="12"/>
        <v>0</v>
      </c>
      <c r="J66" s="14">
        <f t="shared" si="12"/>
        <v>0</v>
      </c>
      <c r="K66" s="14">
        <f t="shared" si="12"/>
        <v>0</v>
      </c>
      <c r="L66" s="14">
        <f t="shared" si="12"/>
        <v>0</v>
      </c>
      <c r="M66" s="14">
        <f t="shared" si="12"/>
        <v>0</v>
      </c>
      <c r="N66" s="14">
        <f t="shared" si="12"/>
        <v>0</v>
      </c>
      <c r="O66" s="14">
        <f t="shared" si="12"/>
        <v>0</v>
      </c>
      <c r="P66" s="14">
        <f t="shared" si="12"/>
        <v>0</v>
      </c>
      <c r="Q66" s="14">
        <f t="shared" si="12"/>
        <v>0</v>
      </c>
      <c r="R66" s="14">
        <f t="shared" si="12"/>
        <v>0</v>
      </c>
      <c r="S66" s="14">
        <f t="shared" si="12"/>
        <v>0</v>
      </c>
      <c r="T66" s="14">
        <f t="shared" si="12"/>
        <v>0</v>
      </c>
      <c r="U66" s="14">
        <f t="shared" si="12"/>
        <v>0</v>
      </c>
      <c r="V66" s="14">
        <f t="shared" si="12"/>
        <v>0</v>
      </c>
      <c r="W66" s="14">
        <f t="shared" si="12"/>
        <v>0</v>
      </c>
      <c r="X66" s="14">
        <f t="shared" si="12"/>
        <v>0</v>
      </c>
      <c r="Y66" s="14">
        <f t="shared" si="12"/>
        <v>0</v>
      </c>
      <c r="Z66" s="14">
        <f t="shared" si="12"/>
        <v>0</v>
      </c>
      <c r="AA66" s="14">
        <f t="shared" si="12"/>
        <v>0</v>
      </c>
      <c r="AB66" s="14">
        <f t="shared" si="12"/>
        <v>0</v>
      </c>
      <c r="AC66" s="14">
        <f t="shared" si="12"/>
        <v>0</v>
      </c>
      <c r="AD66" s="14">
        <f t="shared" si="12"/>
        <v>0</v>
      </c>
      <c r="AE66" s="14">
        <f t="shared" si="12"/>
        <v>0</v>
      </c>
      <c r="AF66" s="14">
        <f t="shared" si="12"/>
        <v>0</v>
      </c>
      <c r="AG66" s="14">
        <f t="shared" si="12"/>
        <v>0</v>
      </c>
      <c r="AH66" s="14">
        <f t="shared" si="12"/>
        <v>0</v>
      </c>
      <c r="AI66" s="14">
        <f t="shared" si="12"/>
        <v>0</v>
      </c>
      <c r="AJ66" s="27">
        <f t="shared" si="0"/>
        <v>0</v>
      </c>
    </row>
  </sheetData>
  <mergeCells count="13">
    <mergeCell ref="B2:AJ2"/>
    <mergeCell ref="B5:B65"/>
    <mergeCell ref="C37:C44"/>
    <mergeCell ref="C45:C48"/>
    <mergeCell ref="C49:C52"/>
    <mergeCell ref="C53:C57"/>
    <mergeCell ref="C58:C61"/>
    <mergeCell ref="C62:C65"/>
    <mergeCell ref="C5:C13"/>
    <mergeCell ref="C14:C23"/>
    <mergeCell ref="C24:C27"/>
    <mergeCell ref="C28:C32"/>
    <mergeCell ref="C33:C36"/>
  </mergeCells>
  <conditionalFormatting sqref="E28:AI31 E33:AI35 E37:AI43 E45:AI47 E49:AI51 E53:AI56 E58:AI60 E62:AI64">
    <cfRule type="notContainsBlanks" dxfId="8" priority="3">
      <formula>LEN(TRIM(E28))&gt;0</formula>
    </cfRule>
  </conditionalFormatting>
  <conditionalFormatting sqref="D5:D12 D14:D22 D24:D26 D28:D31 D33:D35 D37:D43 D45:D47 D49:D51 D53:D56 D58:D60 D62:D64">
    <cfRule type="notContainsBlanks" dxfId="7" priority="2">
      <formula>LEN(TRIM(D5))&gt;0</formula>
    </cfRule>
  </conditionalFormatting>
  <conditionalFormatting sqref="E5:AI12 E14:AI22 E24:AI26">
    <cfRule type="notContainsBlanks" dxfId="6" priority="1">
      <formula>LEN(TRIM(E5))&gt;0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6"/>
  <dimension ref="B1:AJ66"/>
  <sheetViews>
    <sheetView showGridLines="0" showRowColHeaders="0"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2" max="2" width="18.5703125" customWidth="1"/>
    <col min="3" max="3" width="18.28515625" bestFit="1" customWidth="1"/>
    <col min="4" max="4" width="19.7109375" bestFit="1" customWidth="1"/>
    <col min="5" max="35" width="12.5703125" bestFit="1" customWidth="1"/>
    <col min="36" max="36" width="13.5703125" bestFit="1" customWidth="1"/>
  </cols>
  <sheetData>
    <row r="1" spans="2:36" ht="15.75" thickBot="1"/>
    <row r="2" spans="2:36" ht="34.5" customHeight="1" thickBot="1">
      <c r="B2" s="340" t="s">
        <v>10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</row>
    <row r="4" spans="2:36" ht="15.75" thickBot="1">
      <c r="B4" s="4"/>
      <c r="C4" s="5"/>
      <c r="D4" s="12" t="s">
        <v>57</v>
      </c>
      <c r="E4" s="13">
        <v>1</v>
      </c>
      <c r="F4" s="13">
        <v>2</v>
      </c>
      <c r="G4" s="13">
        <v>3</v>
      </c>
      <c r="H4" s="13">
        <v>4</v>
      </c>
      <c r="I4" s="13">
        <v>5</v>
      </c>
      <c r="J4" s="13">
        <v>6</v>
      </c>
      <c r="K4" s="13">
        <v>7</v>
      </c>
      <c r="L4" s="13">
        <v>8</v>
      </c>
      <c r="M4" s="13">
        <v>9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17</v>
      </c>
      <c r="V4" s="13">
        <v>18</v>
      </c>
      <c r="W4" s="13">
        <v>19</v>
      </c>
      <c r="X4" s="13">
        <v>20</v>
      </c>
      <c r="Y4" s="13">
        <v>21</v>
      </c>
      <c r="Z4" s="13">
        <v>22</v>
      </c>
      <c r="AA4" s="13">
        <v>23</v>
      </c>
      <c r="AB4" s="13">
        <v>24</v>
      </c>
      <c r="AC4" s="13">
        <v>25</v>
      </c>
      <c r="AD4" s="13">
        <v>26</v>
      </c>
      <c r="AE4" s="13">
        <v>27</v>
      </c>
      <c r="AF4" s="13">
        <v>28</v>
      </c>
      <c r="AG4" s="13">
        <v>29</v>
      </c>
      <c r="AH4" s="13">
        <v>30</v>
      </c>
      <c r="AI4" s="13">
        <v>31</v>
      </c>
      <c r="AJ4" s="27" t="s">
        <v>103</v>
      </c>
    </row>
    <row r="5" spans="2:36" ht="15.75" thickBot="1">
      <c r="B5" s="338" t="s">
        <v>127</v>
      </c>
      <c r="C5" s="336" t="s">
        <v>25</v>
      </c>
      <c r="D5" s="268" t="s">
        <v>30</v>
      </c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11">
        <f>SUM(E5:AI5)</f>
        <v>0</v>
      </c>
    </row>
    <row r="6" spans="2:36" ht="15.75" thickBot="1">
      <c r="B6" s="338"/>
      <c r="C6" s="336"/>
      <c r="D6" s="271" t="s">
        <v>26</v>
      </c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11">
        <f t="shared" ref="AJ6:AJ66" si="0">SUM(E6:AI6)</f>
        <v>0</v>
      </c>
    </row>
    <row r="7" spans="2:36" ht="15.75" thickBot="1">
      <c r="B7" s="338"/>
      <c r="C7" s="336"/>
      <c r="D7" s="271" t="s">
        <v>29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11">
        <f t="shared" si="0"/>
        <v>0</v>
      </c>
    </row>
    <row r="8" spans="2:36" ht="15.75" thickBot="1">
      <c r="B8" s="338"/>
      <c r="C8" s="336"/>
      <c r="D8" s="271" t="s">
        <v>27</v>
      </c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11">
        <f t="shared" si="0"/>
        <v>0</v>
      </c>
    </row>
    <row r="9" spans="2:36" ht="15.75" thickBot="1">
      <c r="B9" s="338"/>
      <c r="C9" s="336"/>
      <c r="D9" s="271" t="s">
        <v>28</v>
      </c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11">
        <f t="shared" si="0"/>
        <v>0</v>
      </c>
    </row>
    <row r="10" spans="2:36" ht="15.75" thickBot="1">
      <c r="B10" s="338"/>
      <c r="C10" s="336"/>
      <c r="D10" s="272" t="s">
        <v>86</v>
      </c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11">
        <f t="shared" si="0"/>
        <v>0</v>
      </c>
    </row>
    <row r="11" spans="2:36" ht="15.75" thickBot="1">
      <c r="B11" s="338"/>
      <c r="C11" s="336"/>
      <c r="D11" s="272" t="s">
        <v>87</v>
      </c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11">
        <f t="shared" si="0"/>
        <v>0</v>
      </c>
    </row>
    <row r="12" spans="2:36" ht="15.75" thickBot="1">
      <c r="B12" s="338"/>
      <c r="C12" s="336"/>
      <c r="D12" s="272" t="s">
        <v>52</v>
      </c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11">
        <f t="shared" si="0"/>
        <v>0</v>
      </c>
    </row>
    <row r="13" spans="2:36" ht="15.75" thickBot="1">
      <c r="B13" s="338"/>
      <c r="C13" s="336"/>
      <c r="D13" s="20" t="s">
        <v>17</v>
      </c>
      <c r="E13" s="21">
        <f>SUM(E5:E12)</f>
        <v>0</v>
      </c>
      <c r="F13" s="21">
        <f t="shared" ref="F13:AJ13" si="1">SUM(F5:F12)</f>
        <v>0</v>
      </c>
      <c r="G13" s="21">
        <f t="shared" si="1"/>
        <v>0</v>
      </c>
      <c r="H13" s="21">
        <f>SUM(H5:H12)</f>
        <v>0</v>
      </c>
      <c r="I13" s="21">
        <f t="shared" si="1"/>
        <v>0</v>
      </c>
      <c r="J13" s="21">
        <f t="shared" si="1"/>
        <v>0</v>
      </c>
      <c r="K13" s="21">
        <f t="shared" si="1"/>
        <v>0</v>
      </c>
      <c r="L13" s="21">
        <f t="shared" si="1"/>
        <v>0</v>
      </c>
      <c r="M13" s="21">
        <f t="shared" si="1"/>
        <v>0</v>
      </c>
      <c r="N13" s="21">
        <f t="shared" si="1"/>
        <v>0</v>
      </c>
      <c r="O13" s="21">
        <f t="shared" si="1"/>
        <v>0</v>
      </c>
      <c r="P13" s="21">
        <f t="shared" si="1"/>
        <v>0</v>
      </c>
      <c r="Q13" s="21">
        <f t="shared" si="1"/>
        <v>0</v>
      </c>
      <c r="R13" s="21">
        <f t="shared" si="1"/>
        <v>0</v>
      </c>
      <c r="S13" s="21">
        <f t="shared" si="1"/>
        <v>0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21">
        <f t="shared" si="1"/>
        <v>0</v>
      </c>
      <c r="AG13" s="21">
        <f t="shared" si="1"/>
        <v>0</v>
      </c>
      <c r="AH13" s="21">
        <f t="shared" si="1"/>
        <v>0</v>
      </c>
      <c r="AI13" s="21">
        <f t="shared" si="1"/>
        <v>0</v>
      </c>
      <c r="AJ13" s="21">
        <f t="shared" si="1"/>
        <v>0</v>
      </c>
    </row>
    <row r="14" spans="2:36" ht="15.75" thickBot="1">
      <c r="B14" s="338"/>
      <c r="C14" s="336" t="s">
        <v>23</v>
      </c>
      <c r="D14" s="273" t="s">
        <v>31</v>
      </c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11">
        <f t="shared" si="0"/>
        <v>0</v>
      </c>
    </row>
    <row r="15" spans="2:36" ht="15.75" thickBot="1">
      <c r="B15" s="338"/>
      <c r="C15" s="336"/>
      <c r="D15" s="271" t="s">
        <v>32</v>
      </c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11">
        <f t="shared" si="0"/>
        <v>0</v>
      </c>
    </row>
    <row r="16" spans="2:36" ht="15.75" thickBot="1">
      <c r="B16" s="338"/>
      <c r="C16" s="336"/>
      <c r="D16" s="271" t="s">
        <v>33</v>
      </c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11">
        <f t="shared" si="0"/>
        <v>0</v>
      </c>
    </row>
    <row r="17" spans="2:36" ht="15.75" thickBot="1">
      <c r="B17" s="338"/>
      <c r="C17" s="336"/>
      <c r="D17" s="271" t="s">
        <v>54</v>
      </c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  <c r="AJ17" s="11">
        <f t="shared" si="0"/>
        <v>0</v>
      </c>
    </row>
    <row r="18" spans="2:36" ht="15.75" thickBot="1">
      <c r="B18" s="338"/>
      <c r="C18" s="336"/>
      <c r="D18" s="271" t="s">
        <v>55</v>
      </c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  <c r="AJ18" s="11">
        <f t="shared" si="0"/>
        <v>0</v>
      </c>
    </row>
    <row r="19" spans="2:36" ht="15.75" thickBot="1">
      <c r="B19" s="338"/>
      <c r="C19" s="336"/>
      <c r="D19" s="271" t="s">
        <v>38</v>
      </c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  <c r="AF19" s="269"/>
      <c r="AG19" s="269"/>
      <c r="AH19" s="269"/>
      <c r="AI19" s="269"/>
      <c r="AJ19" s="11">
        <f t="shared" si="0"/>
        <v>0</v>
      </c>
    </row>
    <row r="20" spans="2:36" ht="15.75" thickBot="1">
      <c r="B20" s="338"/>
      <c r="C20" s="336"/>
      <c r="D20" s="271" t="s">
        <v>37</v>
      </c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  <c r="AF20" s="269"/>
      <c r="AG20" s="269"/>
      <c r="AH20" s="269"/>
      <c r="AI20" s="269"/>
      <c r="AJ20" s="11">
        <f t="shared" si="0"/>
        <v>0</v>
      </c>
    </row>
    <row r="21" spans="2:36" ht="15.75" thickBot="1">
      <c r="B21" s="338"/>
      <c r="C21" s="336"/>
      <c r="D21" s="271" t="s">
        <v>75</v>
      </c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  <c r="AF21" s="269"/>
      <c r="AG21" s="269"/>
      <c r="AH21" s="269"/>
      <c r="AI21" s="269"/>
      <c r="AJ21" s="11">
        <f t="shared" si="0"/>
        <v>0</v>
      </c>
    </row>
    <row r="22" spans="2:36" ht="15.75" thickBot="1">
      <c r="B22" s="338"/>
      <c r="C22" s="336"/>
      <c r="D22" s="271" t="s">
        <v>52</v>
      </c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  <c r="AF22" s="269"/>
      <c r="AG22" s="269"/>
      <c r="AH22" s="269"/>
      <c r="AI22" s="269"/>
      <c r="AJ22" s="11">
        <f t="shared" si="0"/>
        <v>0</v>
      </c>
    </row>
    <row r="23" spans="2:36" ht="15.75" thickBot="1">
      <c r="B23" s="338"/>
      <c r="C23" s="336"/>
      <c r="D23" s="22" t="s">
        <v>17</v>
      </c>
      <c r="E23" s="21">
        <f>SUM(E14:E22)</f>
        <v>0</v>
      </c>
      <c r="F23" s="21">
        <f t="shared" ref="F23:AJ23" si="2">SUM(F14:F22)</f>
        <v>0</v>
      </c>
      <c r="G23" s="21">
        <f t="shared" si="2"/>
        <v>0</v>
      </c>
      <c r="H23" s="21">
        <f t="shared" si="2"/>
        <v>0</v>
      </c>
      <c r="I23" s="21">
        <f t="shared" si="2"/>
        <v>0</v>
      </c>
      <c r="J23" s="21">
        <f t="shared" si="2"/>
        <v>0</v>
      </c>
      <c r="K23" s="21">
        <f t="shared" si="2"/>
        <v>0</v>
      </c>
      <c r="L23" s="21">
        <f t="shared" si="2"/>
        <v>0</v>
      </c>
      <c r="M23" s="21">
        <f t="shared" si="2"/>
        <v>0</v>
      </c>
      <c r="N23" s="21">
        <f t="shared" si="2"/>
        <v>0</v>
      </c>
      <c r="O23" s="21">
        <f t="shared" si="2"/>
        <v>0</v>
      </c>
      <c r="P23" s="21">
        <f t="shared" si="2"/>
        <v>0</v>
      </c>
      <c r="Q23" s="21">
        <f t="shared" si="2"/>
        <v>0</v>
      </c>
      <c r="R23" s="21">
        <f t="shared" si="2"/>
        <v>0</v>
      </c>
      <c r="S23" s="21">
        <f t="shared" si="2"/>
        <v>0</v>
      </c>
      <c r="T23" s="21">
        <f t="shared" si="2"/>
        <v>0</v>
      </c>
      <c r="U23" s="21">
        <f t="shared" si="2"/>
        <v>0</v>
      </c>
      <c r="V23" s="21">
        <f t="shared" si="2"/>
        <v>0</v>
      </c>
      <c r="W23" s="21">
        <f t="shared" si="2"/>
        <v>0</v>
      </c>
      <c r="X23" s="21">
        <f t="shared" si="2"/>
        <v>0</v>
      </c>
      <c r="Y23" s="21">
        <f t="shared" si="2"/>
        <v>0</v>
      </c>
      <c r="Z23" s="21">
        <f t="shared" si="2"/>
        <v>0</v>
      </c>
      <c r="AA23" s="21">
        <f t="shared" si="2"/>
        <v>0</v>
      </c>
      <c r="AB23" s="21">
        <f t="shared" si="2"/>
        <v>0</v>
      </c>
      <c r="AC23" s="21">
        <f t="shared" si="2"/>
        <v>0</v>
      </c>
      <c r="AD23" s="21">
        <f t="shared" si="2"/>
        <v>0</v>
      </c>
      <c r="AE23" s="21">
        <f t="shared" si="2"/>
        <v>0</v>
      </c>
      <c r="AF23" s="21">
        <f t="shared" si="2"/>
        <v>0</v>
      </c>
      <c r="AG23" s="21">
        <f t="shared" si="2"/>
        <v>0</v>
      </c>
      <c r="AH23" s="21">
        <f t="shared" si="2"/>
        <v>0</v>
      </c>
      <c r="AI23" s="21">
        <f t="shared" si="2"/>
        <v>0</v>
      </c>
      <c r="AJ23" s="21">
        <f t="shared" si="2"/>
        <v>0</v>
      </c>
    </row>
    <row r="24" spans="2:36" ht="15.75" thickBot="1">
      <c r="B24" s="338"/>
      <c r="C24" s="336" t="s">
        <v>39</v>
      </c>
      <c r="D24" s="271" t="s">
        <v>40</v>
      </c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  <c r="AF24" s="269"/>
      <c r="AG24" s="269"/>
      <c r="AH24" s="269"/>
      <c r="AI24" s="269"/>
      <c r="AJ24" s="11">
        <f t="shared" si="0"/>
        <v>0</v>
      </c>
    </row>
    <row r="25" spans="2:36" ht="15.75" thickBot="1">
      <c r="B25" s="338"/>
      <c r="C25" s="336"/>
      <c r="D25" s="271" t="s">
        <v>41</v>
      </c>
      <c r="E25" s="269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  <c r="AF25" s="269"/>
      <c r="AG25" s="269"/>
      <c r="AH25" s="269"/>
      <c r="AI25" s="269"/>
      <c r="AJ25" s="11">
        <f t="shared" si="0"/>
        <v>0</v>
      </c>
    </row>
    <row r="26" spans="2:36" ht="15.75" thickBot="1">
      <c r="B26" s="338"/>
      <c r="C26" s="336"/>
      <c r="D26" s="271" t="s">
        <v>52</v>
      </c>
      <c r="E26" s="269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  <c r="AF26" s="269"/>
      <c r="AG26" s="269"/>
      <c r="AH26" s="269"/>
      <c r="AI26" s="269"/>
      <c r="AJ26" s="11">
        <f t="shared" si="0"/>
        <v>0</v>
      </c>
    </row>
    <row r="27" spans="2:36" ht="15.75" thickBot="1">
      <c r="B27" s="338"/>
      <c r="C27" s="336"/>
      <c r="D27" s="16" t="s">
        <v>17</v>
      </c>
      <c r="E27" s="17">
        <f>SUM(E24:E26)</f>
        <v>0</v>
      </c>
      <c r="F27" s="17">
        <f t="shared" ref="F27:AJ27" si="3">SUM(F24:F26)</f>
        <v>0</v>
      </c>
      <c r="G27" s="17">
        <f t="shared" si="3"/>
        <v>0</v>
      </c>
      <c r="H27" s="17">
        <f t="shared" si="3"/>
        <v>0</v>
      </c>
      <c r="I27" s="17">
        <f t="shared" si="3"/>
        <v>0</v>
      </c>
      <c r="J27" s="17">
        <f t="shared" si="3"/>
        <v>0</v>
      </c>
      <c r="K27" s="17">
        <f t="shared" si="3"/>
        <v>0</v>
      </c>
      <c r="L27" s="17">
        <f t="shared" si="3"/>
        <v>0</v>
      </c>
      <c r="M27" s="17">
        <f t="shared" si="3"/>
        <v>0</v>
      </c>
      <c r="N27" s="17">
        <f t="shared" si="3"/>
        <v>0</v>
      </c>
      <c r="O27" s="17">
        <f t="shared" si="3"/>
        <v>0</v>
      </c>
      <c r="P27" s="17">
        <f t="shared" si="3"/>
        <v>0</v>
      </c>
      <c r="Q27" s="17">
        <f t="shared" si="3"/>
        <v>0</v>
      </c>
      <c r="R27" s="17">
        <f t="shared" si="3"/>
        <v>0</v>
      </c>
      <c r="S27" s="17">
        <f t="shared" si="3"/>
        <v>0</v>
      </c>
      <c r="T27" s="17">
        <f t="shared" si="3"/>
        <v>0</v>
      </c>
      <c r="U27" s="17">
        <f t="shared" si="3"/>
        <v>0</v>
      </c>
      <c r="V27" s="17">
        <f t="shared" si="3"/>
        <v>0</v>
      </c>
      <c r="W27" s="17">
        <f t="shared" si="3"/>
        <v>0</v>
      </c>
      <c r="X27" s="17">
        <f t="shared" si="3"/>
        <v>0</v>
      </c>
      <c r="Y27" s="17">
        <f t="shared" si="3"/>
        <v>0</v>
      </c>
      <c r="Z27" s="17">
        <f t="shared" si="3"/>
        <v>0</v>
      </c>
      <c r="AA27" s="17">
        <f t="shared" si="3"/>
        <v>0</v>
      </c>
      <c r="AB27" s="17">
        <f t="shared" si="3"/>
        <v>0</v>
      </c>
      <c r="AC27" s="17">
        <f t="shared" si="3"/>
        <v>0</v>
      </c>
      <c r="AD27" s="17">
        <f t="shared" si="3"/>
        <v>0</v>
      </c>
      <c r="AE27" s="17">
        <f t="shared" si="3"/>
        <v>0</v>
      </c>
      <c r="AF27" s="17">
        <f t="shared" si="3"/>
        <v>0</v>
      </c>
      <c r="AG27" s="17">
        <f t="shared" si="3"/>
        <v>0</v>
      </c>
      <c r="AH27" s="17">
        <f t="shared" si="3"/>
        <v>0</v>
      </c>
      <c r="AI27" s="17">
        <f t="shared" si="3"/>
        <v>0</v>
      </c>
      <c r="AJ27" s="17">
        <f t="shared" si="3"/>
        <v>0</v>
      </c>
    </row>
    <row r="28" spans="2:36" ht="15.75" thickBot="1">
      <c r="B28" s="338"/>
      <c r="C28" s="336" t="s">
        <v>45</v>
      </c>
      <c r="D28" s="271" t="s">
        <v>79</v>
      </c>
      <c r="E28" s="269"/>
      <c r="F28" s="270"/>
      <c r="G28" s="270"/>
      <c r="H28" s="270"/>
      <c r="I28" s="270"/>
      <c r="J28" s="270"/>
      <c r="K28" s="270"/>
      <c r="L28" s="270"/>
      <c r="M28" s="270"/>
      <c r="N28" s="270"/>
      <c r="O28" s="270"/>
      <c r="P28" s="270"/>
      <c r="Q28" s="270"/>
      <c r="R28" s="270"/>
      <c r="S28" s="270"/>
      <c r="T28" s="270"/>
      <c r="U28" s="270"/>
      <c r="V28" s="270"/>
      <c r="W28" s="270"/>
      <c r="X28" s="270"/>
      <c r="Y28" s="270"/>
      <c r="Z28" s="270"/>
      <c r="AA28" s="270"/>
      <c r="AB28" s="270"/>
      <c r="AC28" s="270"/>
      <c r="AD28" s="270"/>
      <c r="AE28" s="270"/>
      <c r="AF28" s="270"/>
      <c r="AG28" s="270"/>
      <c r="AH28" s="270"/>
      <c r="AI28" s="270"/>
      <c r="AJ28" s="11">
        <f t="shared" si="0"/>
        <v>0</v>
      </c>
    </row>
    <row r="29" spans="2:36" ht="15.75" thickBot="1">
      <c r="B29" s="338"/>
      <c r="C29" s="336"/>
      <c r="D29" s="271" t="s">
        <v>78</v>
      </c>
      <c r="E29" s="269"/>
      <c r="F29" s="270"/>
      <c r="G29" s="270"/>
      <c r="H29" s="270"/>
      <c r="I29" s="270"/>
      <c r="J29" s="270"/>
      <c r="K29" s="270"/>
      <c r="L29" s="270"/>
      <c r="M29" s="270"/>
      <c r="N29" s="270"/>
      <c r="O29" s="270"/>
      <c r="P29" s="270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11">
        <f t="shared" si="0"/>
        <v>0</v>
      </c>
    </row>
    <row r="30" spans="2:36" ht="15.75" thickBot="1">
      <c r="B30" s="338"/>
      <c r="C30" s="336"/>
      <c r="D30" s="271" t="s">
        <v>48</v>
      </c>
      <c r="E30" s="269"/>
      <c r="F30" s="270"/>
      <c r="G30" s="270"/>
      <c r="H30" s="270"/>
      <c r="I30" s="270"/>
      <c r="J30" s="270"/>
      <c r="K30" s="270"/>
      <c r="L30" s="270"/>
      <c r="M30" s="270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11">
        <f t="shared" si="0"/>
        <v>0</v>
      </c>
    </row>
    <row r="31" spans="2:36" ht="15.75" thickBot="1">
      <c r="B31" s="338"/>
      <c r="C31" s="336"/>
      <c r="D31" s="271" t="s">
        <v>52</v>
      </c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11">
        <f t="shared" si="0"/>
        <v>0</v>
      </c>
    </row>
    <row r="32" spans="2:36" ht="15.75" thickBot="1">
      <c r="B32" s="338"/>
      <c r="C32" s="336"/>
      <c r="D32" s="16" t="s">
        <v>17</v>
      </c>
      <c r="E32" s="17">
        <f>SUM(E28:E31)</f>
        <v>0</v>
      </c>
      <c r="F32" s="17">
        <f t="shared" ref="F32:AJ32" si="4">SUM(F28:F31)</f>
        <v>0</v>
      </c>
      <c r="G32" s="17">
        <f t="shared" si="4"/>
        <v>0</v>
      </c>
      <c r="H32" s="17">
        <f t="shared" si="4"/>
        <v>0</v>
      </c>
      <c r="I32" s="17">
        <f t="shared" si="4"/>
        <v>0</v>
      </c>
      <c r="J32" s="17">
        <f t="shared" si="4"/>
        <v>0</v>
      </c>
      <c r="K32" s="17">
        <f t="shared" si="4"/>
        <v>0</v>
      </c>
      <c r="L32" s="17">
        <f t="shared" si="4"/>
        <v>0</v>
      </c>
      <c r="M32" s="17">
        <f t="shared" si="4"/>
        <v>0</v>
      </c>
      <c r="N32" s="17">
        <f t="shared" si="4"/>
        <v>0</v>
      </c>
      <c r="O32" s="17">
        <f t="shared" si="4"/>
        <v>0</v>
      </c>
      <c r="P32" s="17">
        <f t="shared" si="4"/>
        <v>0</v>
      </c>
      <c r="Q32" s="17">
        <f t="shared" si="4"/>
        <v>0</v>
      </c>
      <c r="R32" s="17">
        <f t="shared" si="4"/>
        <v>0</v>
      </c>
      <c r="S32" s="17">
        <f t="shared" si="4"/>
        <v>0</v>
      </c>
      <c r="T32" s="17">
        <f t="shared" si="4"/>
        <v>0</v>
      </c>
      <c r="U32" s="17">
        <f t="shared" si="4"/>
        <v>0</v>
      </c>
      <c r="V32" s="17">
        <f t="shared" si="4"/>
        <v>0</v>
      </c>
      <c r="W32" s="17">
        <f t="shared" si="4"/>
        <v>0</v>
      </c>
      <c r="X32" s="17">
        <f t="shared" si="4"/>
        <v>0</v>
      </c>
      <c r="Y32" s="17">
        <f t="shared" si="4"/>
        <v>0</v>
      </c>
      <c r="Z32" s="17">
        <f t="shared" si="4"/>
        <v>0</v>
      </c>
      <c r="AA32" s="17">
        <f t="shared" si="4"/>
        <v>0</v>
      </c>
      <c r="AB32" s="17">
        <f t="shared" si="4"/>
        <v>0</v>
      </c>
      <c r="AC32" s="17">
        <f t="shared" si="4"/>
        <v>0</v>
      </c>
      <c r="AD32" s="17">
        <f t="shared" si="4"/>
        <v>0</v>
      </c>
      <c r="AE32" s="17">
        <f t="shared" si="4"/>
        <v>0</v>
      </c>
      <c r="AF32" s="17">
        <f t="shared" si="4"/>
        <v>0</v>
      </c>
      <c r="AG32" s="17">
        <f t="shared" si="4"/>
        <v>0</v>
      </c>
      <c r="AH32" s="17">
        <f t="shared" si="4"/>
        <v>0</v>
      </c>
      <c r="AI32" s="17">
        <f t="shared" si="4"/>
        <v>0</v>
      </c>
      <c r="AJ32" s="17">
        <f t="shared" si="4"/>
        <v>0</v>
      </c>
    </row>
    <row r="33" spans="2:36" ht="15.75" thickBot="1">
      <c r="B33" s="338"/>
      <c r="C33" s="336" t="s">
        <v>22</v>
      </c>
      <c r="D33" s="271" t="s">
        <v>34</v>
      </c>
      <c r="E33" s="269"/>
      <c r="F33" s="270"/>
      <c r="G33" s="270"/>
      <c r="H33" s="270"/>
      <c r="I33" s="270"/>
      <c r="J33" s="270"/>
      <c r="K33" s="270"/>
      <c r="L33" s="270"/>
      <c r="M33" s="270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11">
        <f t="shared" si="0"/>
        <v>0</v>
      </c>
    </row>
    <row r="34" spans="2:36" ht="15.75" thickBot="1">
      <c r="B34" s="338"/>
      <c r="C34" s="336"/>
      <c r="D34" s="271" t="s">
        <v>35</v>
      </c>
      <c r="E34" s="269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11">
        <f t="shared" si="0"/>
        <v>0</v>
      </c>
    </row>
    <row r="35" spans="2:36" ht="15.75" thickBot="1">
      <c r="B35" s="338"/>
      <c r="C35" s="336"/>
      <c r="D35" s="271" t="s">
        <v>52</v>
      </c>
      <c r="E35" s="269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11">
        <f t="shared" si="0"/>
        <v>0</v>
      </c>
    </row>
    <row r="36" spans="2:36" ht="15.75" thickBot="1">
      <c r="B36" s="338"/>
      <c r="C36" s="336"/>
      <c r="D36" s="16" t="s">
        <v>17</v>
      </c>
      <c r="E36" s="17">
        <f>SUM(E33:E35)</f>
        <v>0</v>
      </c>
      <c r="F36" s="17">
        <f t="shared" ref="F36:AJ36" si="5">SUM(F33:F35)</f>
        <v>0</v>
      </c>
      <c r="G36" s="17">
        <f t="shared" si="5"/>
        <v>0</v>
      </c>
      <c r="H36" s="17">
        <f t="shared" si="5"/>
        <v>0</v>
      </c>
      <c r="I36" s="17">
        <f t="shared" si="5"/>
        <v>0</v>
      </c>
      <c r="J36" s="17">
        <f t="shared" si="5"/>
        <v>0</v>
      </c>
      <c r="K36" s="17">
        <f t="shared" si="5"/>
        <v>0</v>
      </c>
      <c r="L36" s="17">
        <f t="shared" si="5"/>
        <v>0</v>
      </c>
      <c r="M36" s="17">
        <f t="shared" si="5"/>
        <v>0</v>
      </c>
      <c r="N36" s="17">
        <f t="shared" si="5"/>
        <v>0</v>
      </c>
      <c r="O36" s="17">
        <f t="shared" si="5"/>
        <v>0</v>
      </c>
      <c r="P36" s="17">
        <f t="shared" si="5"/>
        <v>0</v>
      </c>
      <c r="Q36" s="17">
        <f t="shared" si="5"/>
        <v>0</v>
      </c>
      <c r="R36" s="17">
        <f t="shared" si="5"/>
        <v>0</v>
      </c>
      <c r="S36" s="17">
        <f t="shared" si="5"/>
        <v>0</v>
      </c>
      <c r="T36" s="17">
        <f t="shared" si="5"/>
        <v>0</v>
      </c>
      <c r="U36" s="17">
        <f t="shared" si="5"/>
        <v>0</v>
      </c>
      <c r="V36" s="17">
        <f t="shared" si="5"/>
        <v>0</v>
      </c>
      <c r="W36" s="17">
        <f t="shared" si="5"/>
        <v>0</v>
      </c>
      <c r="X36" s="17">
        <f t="shared" si="5"/>
        <v>0</v>
      </c>
      <c r="Y36" s="17">
        <f t="shared" si="5"/>
        <v>0</v>
      </c>
      <c r="Z36" s="17">
        <f t="shared" si="5"/>
        <v>0</v>
      </c>
      <c r="AA36" s="17">
        <f t="shared" si="5"/>
        <v>0</v>
      </c>
      <c r="AB36" s="17">
        <f t="shared" si="5"/>
        <v>0</v>
      </c>
      <c r="AC36" s="17">
        <f t="shared" si="5"/>
        <v>0</v>
      </c>
      <c r="AD36" s="17">
        <f t="shared" si="5"/>
        <v>0</v>
      </c>
      <c r="AE36" s="17">
        <f t="shared" si="5"/>
        <v>0</v>
      </c>
      <c r="AF36" s="17">
        <f t="shared" si="5"/>
        <v>0</v>
      </c>
      <c r="AG36" s="17">
        <f t="shared" si="5"/>
        <v>0</v>
      </c>
      <c r="AH36" s="17">
        <f t="shared" si="5"/>
        <v>0</v>
      </c>
      <c r="AI36" s="17">
        <f t="shared" si="5"/>
        <v>0</v>
      </c>
      <c r="AJ36" s="17">
        <f t="shared" si="5"/>
        <v>0</v>
      </c>
    </row>
    <row r="37" spans="2:36" ht="15.75" thickBot="1">
      <c r="B37" s="338"/>
      <c r="C37" s="336" t="s">
        <v>58</v>
      </c>
      <c r="D37" s="274" t="s">
        <v>91</v>
      </c>
      <c r="E37" s="269"/>
      <c r="F37" s="270"/>
      <c r="G37" s="270"/>
      <c r="H37" s="270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11">
        <f t="shared" si="0"/>
        <v>0</v>
      </c>
    </row>
    <row r="38" spans="2:36" ht="15.75" thickBot="1">
      <c r="B38" s="338"/>
      <c r="C38" s="336"/>
      <c r="D38" s="271" t="s">
        <v>60</v>
      </c>
      <c r="E38" s="269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  <c r="AC38" s="270"/>
      <c r="AD38" s="270"/>
      <c r="AE38" s="270"/>
      <c r="AF38" s="270"/>
      <c r="AG38" s="270"/>
      <c r="AH38" s="270"/>
      <c r="AI38" s="270"/>
      <c r="AJ38" s="11">
        <f t="shared" si="0"/>
        <v>0</v>
      </c>
    </row>
    <row r="39" spans="2:36" ht="15.75" thickBot="1">
      <c r="B39" s="338"/>
      <c r="C39" s="336"/>
      <c r="D39" s="271" t="s">
        <v>61</v>
      </c>
      <c r="E39" s="269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0"/>
      <c r="AH39" s="270"/>
      <c r="AI39" s="270"/>
      <c r="AJ39" s="11">
        <f t="shared" si="0"/>
        <v>0</v>
      </c>
    </row>
    <row r="40" spans="2:36" ht="15.75" thickBot="1">
      <c r="B40" s="338"/>
      <c r="C40" s="336"/>
      <c r="D40" s="271" t="s">
        <v>62</v>
      </c>
      <c r="E40" s="269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270"/>
      <c r="V40" s="270"/>
      <c r="W40" s="270"/>
      <c r="X40" s="270"/>
      <c r="Y40" s="270"/>
      <c r="Z40" s="270"/>
      <c r="AA40" s="270"/>
      <c r="AB40" s="270"/>
      <c r="AC40" s="270"/>
      <c r="AD40" s="270"/>
      <c r="AE40" s="270"/>
      <c r="AF40" s="270"/>
      <c r="AG40" s="270"/>
      <c r="AH40" s="270"/>
      <c r="AI40" s="270"/>
      <c r="AJ40" s="11">
        <f t="shared" si="0"/>
        <v>0</v>
      </c>
    </row>
    <row r="41" spans="2:36" ht="15.75" thickBot="1">
      <c r="B41" s="338"/>
      <c r="C41" s="336"/>
      <c r="D41" s="271" t="s">
        <v>81</v>
      </c>
      <c r="E41" s="269"/>
      <c r="F41" s="270"/>
      <c r="G41" s="270"/>
      <c r="H41" s="270"/>
      <c r="I41" s="270"/>
      <c r="J41" s="270"/>
      <c r="K41" s="270"/>
      <c r="L41" s="270"/>
      <c r="M41" s="270"/>
      <c r="N41" s="270"/>
      <c r="O41" s="270"/>
      <c r="P41" s="270"/>
      <c r="Q41" s="27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  <c r="AC41" s="270"/>
      <c r="AD41" s="270"/>
      <c r="AE41" s="270"/>
      <c r="AF41" s="270"/>
      <c r="AG41" s="270"/>
      <c r="AH41" s="270"/>
      <c r="AI41" s="270"/>
      <c r="AJ41" s="11">
        <f t="shared" si="0"/>
        <v>0</v>
      </c>
    </row>
    <row r="42" spans="2:36" ht="15.75" thickBot="1">
      <c r="B42" s="338"/>
      <c r="C42" s="336"/>
      <c r="D42" s="271" t="s">
        <v>110</v>
      </c>
      <c r="E42" s="269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11">
        <f t="shared" si="0"/>
        <v>0</v>
      </c>
    </row>
    <row r="43" spans="2:36" ht="15.75" thickBot="1">
      <c r="B43" s="338"/>
      <c r="C43" s="336"/>
      <c r="D43" s="271" t="s">
        <v>52</v>
      </c>
      <c r="E43" s="269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69"/>
      <c r="Q43" s="269"/>
      <c r="R43" s="269"/>
      <c r="S43" s="269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11">
        <f t="shared" si="0"/>
        <v>0</v>
      </c>
    </row>
    <row r="44" spans="2:36" ht="15.75" thickBot="1">
      <c r="B44" s="338"/>
      <c r="C44" s="336"/>
      <c r="D44" s="16" t="s">
        <v>17</v>
      </c>
      <c r="E44" s="17">
        <f>SUM(E37:E43)</f>
        <v>0</v>
      </c>
      <c r="F44" s="17">
        <f t="shared" ref="F44:AJ44" si="6">SUM(F37:F43)</f>
        <v>0</v>
      </c>
      <c r="G44" s="17">
        <f t="shared" si="6"/>
        <v>0</v>
      </c>
      <c r="H44" s="17">
        <f t="shared" si="6"/>
        <v>0</v>
      </c>
      <c r="I44" s="17">
        <f t="shared" si="6"/>
        <v>0</v>
      </c>
      <c r="J44" s="17">
        <f t="shared" si="6"/>
        <v>0</v>
      </c>
      <c r="K44" s="17">
        <f t="shared" si="6"/>
        <v>0</v>
      </c>
      <c r="L44" s="17">
        <f t="shared" si="6"/>
        <v>0</v>
      </c>
      <c r="M44" s="17">
        <f t="shared" si="6"/>
        <v>0</v>
      </c>
      <c r="N44" s="17">
        <f t="shared" si="6"/>
        <v>0</v>
      </c>
      <c r="O44" s="17">
        <f t="shared" si="6"/>
        <v>0</v>
      </c>
      <c r="P44" s="17">
        <f t="shared" si="6"/>
        <v>0</v>
      </c>
      <c r="Q44" s="17">
        <f t="shared" si="6"/>
        <v>0</v>
      </c>
      <c r="R44" s="17">
        <f t="shared" si="6"/>
        <v>0</v>
      </c>
      <c r="S44" s="17">
        <f t="shared" si="6"/>
        <v>0</v>
      </c>
      <c r="T44" s="17">
        <f t="shared" si="6"/>
        <v>0</v>
      </c>
      <c r="U44" s="17">
        <f t="shared" si="6"/>
        <v>0</v>
      </c>
      <c r="V44" s="17">
        <f t="shared" si="6"/>
        <v>0</v>
      </c>
      <c r="W44" s="17">
        <f t="shared" si="6"/>
        <v>0</v>
      </c>
      <c r="X44" s="17">
        <f t="shared" si="6"/>
        <v>0</v>
      </c>
      <c r="Y44" s="17">
        <f t="shared" si="6"/>
        <v>0</v>
      </c>
      <c r="Z44" s="17">
        <f t="shared" si="6"/>
        <v>0</v>
      </c>
      <c r="AA44" s="17">
        <f t="shared" si="6"/>
        <v>0</v>
      </c>
      <c r="AB44" s="17">
        <f t="shared" si="6"/>
        <v>0</v>
      </c>
      <c r="AC44" s="17">
        <f t="shared" si="6"/>
        <v>0</v>
      </c>
      <c r="AD44" s="17">
        <f t="shared" si="6"/>
        <v>0</v>
      </c>
      <c r="AE44" s="17">
        <f t="shared" si="6"/>
        <v>0</v>
      </c>
      <c r="AF44" s="17">
        <f t="shared" si="6"/>
        <v>0</v>
      </c>
      <c r="AG44" s="17">
        <f t="shared" si="6"/>
        <v>0</v>
      </c>
      <c r="AH44" s="17">
        <f t="shared" si="6"/>
        <v>0</v>
      </c>
      <c r="AI44" s="17">
        <f t="shared" si="6"/>
        <v>0</v>
      </c>
      <c r="AJ44" s="17">
        <f t="shared" si="6"/>
        <v>0</v>
      </c>
    </row>
    <row r="45" spans="2:36" ht="15.75" thickBot="1">
      <c r="B45" s="338"/>
      <c r="C45" s="336" t="s">
        <v>36</v>
      </c>
      <c r="D45" s="271" t="s">
        <v>63</v>
      </c>
      <c r="E45" s="269"/>
      <c r="F45" s="270"/>
      <c r="G45" s="270"/>
      <c r="H45" s="270"/>
      <c r="I45" s="270"/>
      <c r="J45" s="270"/>
      <c r="K45" s="270"/>
      <c r="L45" s="270"/>
      <c r="M45" s="270"/>
      <c r="N45" s="270"/>
      <c r="O45" s="270"/>
      <c r="P45" s="270"/>
      <c r="Q45" s="270"/>
      <c r="R45" s="270"/>
      <c r="S45" s="270"/>
      <c r="T45" s="270"/>
      <c r="U45" s="270"/>
      <c r="V45" s="270"/>
      <c r="W45" s="270"/>
      <c r="X45" s="270"/>
      <c r="Y45" s="270"/>
      <c r="Z45" s="270"/>
      <c r="AA45" s="270"/>
      <c r="AB45" s="270"/>
      <c r="AC45" s="270"/>
      <c r="AD45" s="270"/>
      <c r="AE45" s="270"/>
      <c r="AF45" s="270"/>
      <c r="AG45" s="270"/>
      <c r="AH45" s="270"/>
      <c r="AI45" s="270"/>
      <c r="AJ45" s="11">
        <f t="shared" si="0"/>
        <v>0</v>
      </c>
    </row>
    <row r="46" spans="2:36" ht="15.75" thickBot="1">
      <c r="B46" s="338"/>
      <c r="C46" s="336"/>
      <c r="D46" s="271" t="s">
        <v>64</v>
      </c>
      <c r="E46" s="269"/>
      <c r="F46" s="270"/>
      <c r="G46" s="270"/>
      <c r="H46" s="270"/>
      <c r="I46" s="270"/>
      <c r="J46" s="270"/>
      <c r="K46" s="270"/>
      <c r="L46" s="270"/>
      <c r="M46" s="270"/>
      <c r="N46" s="270"/>
      <c r="O46" s="270"/>
      <c r="P46" s="270"/>
      <c r="Q46" s="270"/>
      <c r="R46" s="270"/>
      <c r="S46" s="270"/>
      <c r="T46" s="270"/>
      <c r="U46" s="270"/>
      <c r="V46" s="270"/>
      <c r="W46" s="270"/>
      <c r="X46" s="270"/>
      <c r="Y46" s="270"/>
      <c r="Z46" s="270"/>
      <c r="AA46" s="270"/>
      <c r="AB46" s="270"/>
      <c r="AC46" s="270"/>
      <c r="AD46" s="270"/>
      <c r="AE46" s="270"/>
      <c r="AF46" s="270"/>
      <c r="AG46" s="270"/>
      <c r="AH46" s="270"/>
      <c r="AI46" s="270"/>
      <c r="AJ46" s="11">
        <f t="shared" si="0"/>
        <v>0</v>
      </c>
    </row>
    <row r="47" spans="2:36" ht="15.75" thickBot="1">
      <c r="B47" s="338"/>
      <c r="C47" s="336"/>
      <c r="D47" s="271" t="s">
        <v>52</v>
      </c>
      <c r="E47" s="269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69"/>
      <c r="S47" s="269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11">
        <f t="shared" si="0"/>
        <v>0</v>
      </c>
    </row>
    <row r="48" spans="2:36" ht="15.75" thickBot="1">
      <c r="B48" s="338"/>
      <c r="C48" s="336"/>
      <c r="D48" s="16" t="s">
        <v>17</v>
      </c>
      <c r="E48" s="17">
        <f>SUM(E45:E47)</f>
        <v>0</v>
      </c>
      <c r="F48" s="17">
        <f t="shared" ref="F48:AJ48" si="7">SUM(F45:F47)</f>
        <v>0</v>
      </c>
      <c r="G48" s="17">
        <f t="shared" si="7"/>
        <v>0</v>
      </c>
      <c r="H48" s="17">
        <f t="shared" si="7"/>
        <v>0</v>
      </c>
      <c r="I48" s="17">
        <f t="shared" si="7"/>
        <v>0</v>
      </c>
      <c r="J48" s="17">
        <f t="shared" si="7"/>
        <v>0</v>
      </c>
      <c r="K48" s="17">
        <f t="shared" si="7"/>
        <v>0</v>
      </c>
      <c r="L48" s="17">
        <f t="shared" si="7"/>
        <v>0</v>
      </c>
      <c r="M48" s="17">
        <f t="shared" si="7"/>
        <v>0</v>
      </c>
      <c r="N48" s="17">
        <f t="shared" si="7"/>
        <v>0</v>
      </c>
      <c r="O48" s="17">
        <f t="shared" si="7"/>
        <v>0</v>
      </c>
      <c r="P48" s="17">
        <f t="shared" si="7"/>
        <v>0</v>
      </c>
      <c r="Q48" s="17">
        <f t="shared" si="7"/>
        <v>0</v>
      </c>
      <c r="R48" s="17">
        <f t="shared" si="7"/>
        <v>0</v>
      </c>
      <c r="S48" s="17">
        <f t="shared" si="7"/>
        <v>0</v>
      </c>
      <c r="T48" s="17">
        <f t="shared" si="7"/>
        <v>0</v>
      </c>
      <c r="U48" s="17">
        <f t="shared" si="7"/>
        <v>0</v>
      </c>
      <c r="V48" s="17">
        <f t="shared" si="7"/>
        <v>0</v>
      </c>
      <c r="W48" s="17">
        <f t="shared" si="7"/>
        <v>0</v>
      </c>
      <c r="X48" s="17">
        <f t="shared" si="7"/>
        <v>0</v>
      </c>
      <c r="Y48" s="17">
        <f t="shared" si="7"/>
        <v>0</v>
      </c>
      <c r="Z48" s="17">
        <f t="shared" si="7"/>
        <v>0</v>
      </c>
      <c r="AA48" s="17">
        <f t="shared" si="7"/>
        <v>0</v>
      </c>
      <c r="AB48" s="17">
        <f t="shared" si="7"/>
        <v>0</v>
      </c>
      <c r="AC48" s="17">
        <f t="shared" si="7"/>
        <v>0</v>
      </c>
      <c r="AD48" s="17">
        <f t="shared" si="7"/>
        <v>0</v>
      </c>
      <c r="AE48" s="17">
        <f t="shared" si="7"/>
        <v>0</v>
      </c>
      <c r="AF48" s="17">
        <f t="shared" si="7"/>
        <v>0</v>
      </c>
      <c r="AG48" s="17">
        <f t="shared" si="7"/>
        <v>0</v>
      </c>
      <c r="AH48" s="17">
        <f t="shared" si="7"/>
        <v>0</v>
      </c>
      <c r="AI48" s="17">
        <f t="shared" si="7"/>
        <v>0</v>
      </c>
      <c r="AJ48" s="17">
        <f t="shared" si="7"/>
        <v>0</v>
      </c>
    </row>
    <row r="49" spans="2:36" ht="15.75" thickBot="1">
      <c r="B49" s="338"/>
      <c r="C49" s="336" t="s">
        <v>65</v>
      </c>
      <c r="D49" s="271" t="s">
        <v>66</v>
      </c>
      <c r="E49" s="269"/>
      <c r="F49" s="270"/>
      <c r="G49" s="270"/>
      <c r="H49" s="270"/>
      <c r="I49" s="270"/>
      <c r="J49" s="270"/>
      <c r="K49" s="270"/>
      <c r="L49" s="270"/>
      <c r="M49" s="270"/>
      <c r="N49" s="270"/>
      <c r="O49" s="270"/>
      <c r="P49" s="270"/>
      <c r="Q49" s="270"/>
      <c r="R49" s="270"/>
      <c r="S49" s="270"/>
      <c r="T49" s="270"/>
      <c r="U49" s="270"/>
      <c r="V49" s="270"/>
      <c r="W49" s="270"/>
      <c r="X49" s="270"/>
      <c r="Y49" s="270"/>
      <c r="Z49" s="270"/>
      <c r="AA49" s="270"/>
      <c r="AB49" s="270"/>
      <c r="AC49" s="270"/>
      <c r="AD49" s="270"/>
      <c r="AE49" s="270"/>
      <c r="AF49" s="270"/>
      <c r="AG49" s="270"/>
      <c r="AH49" s="270"/>
      <c r="AI49" s="270"/>
      <c r="AJ49" s="11">
        <f t="shared" si="0"/>
        <v>0</v>
      </c>
    </row>
    <row r="50" spans="2:36" ht="15.75" thickBot="1">
      <c r="B50" s="338"/>
      <c r="C50" s="336"/>
      <c r="D50" s="271" t="s">
        <v>67</v>
      </c>
      <c r="E50" s="269"/>
      <c r="F50" s="270"/>
      <c r="G50" s="270"/>
      <c r="H50" s="270"/>
      <c r="I50" s="270"/>
      <c r="J50" s="270"/>
      <c r="K50" s="270"/>
      <c r="L50" s="270"/>
      <c r="M50" s="270"/>
      <c r="N50" s="270"/>
      <c r="O50" s="270"/>
      <c r="P50" s="270"/>
      <c r="Q50" s="270"/>
      <c r="R50" s="270"/>
      <c r="S50" s="270"/>
      <c r="T50" s="270"/>
      <c r="U50" s="270"/>
      <c r="V50" s="270"/>
      <c r="W50" s="270"/>
      <c r="X50" s="270"/>
      <c r="Y50" s="270"/>
      <c r="Z50" s="270"/>
      <c r="AA50" s="270"/>
      <c r="AB50" s="270"/>
      <c r="AC50" s="270"/>
      <c r="AD50" s="270"/>
      <c r="AE50" s="270"/>
      <c r="AF50" s="270"/>
      <c r="AG50" s="270"/>
      <c r="AH50" s="270"/>
      <c r="AI50" s="270"/>
      <c r="AJ50" s="11">
        <f t="shared" si="0"/>
        <v>0</v>
      </c>
    </row>
    <row r="51" spans="2:36" ht="15.75" thickBot="1">
      <c r="B51" s="338"/>
      <c r="C51" s="336"/>
      <c r="D51" s="271" t="s">
        <v>52</v>
      </c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69"/>
      <c r="Q51" s="269"/>
      <c r="R51" s="269"/>
      <c r="S51" s="269"/>
      <c r="T51" s="269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11">
        <f t="shared" si="0"/>
        <v>0</v>
      </c>
    </row>
    <row r="52" spans="2:36" ht="15.75" thickBot="1">
      <c r="B52" s="338"/>
      <c r="C52" s="336"/>
      <c r="D52" s="16" t="s">
        <v>17</v>
      </c>
      <c r="E52" s="17">
        <f>SUM(E49:E51)</f>
        <v>0</v>
      </c>
      <c r="F52" s="17">
        <f t="shared" ref="F52:AJ52" si="8">SUM(F49:F51)</f>
        <v>0</v>
      </c>
      <c r="G52" s="17">
        <f t="shared" si="8"/>
        <v>0</v>
      </c>
      <c r="H52" s="17">
        <f t="shared" si="8"/>
        <v>0</v>
      </c>
      <c r="I52" s="17">
        <f t="shared" si="8"/>
        <v>0</v>
      </c>
      <c r="J52" s="17">
        <f t="shared" si="8"/>
        <v>0</v>
      </c>
      <c r="K52" s="17">
        <f t="shared" si="8"/>
        <v>0</v>
      </c>
      <c r="L52" s="17">
        <f t="shared" si="8"/>
        <v>0</v>
      </c>
      <c r="M52" s="17">
        <f t="shared" si="8"/>
        <v>0</v>
      </c>
      <c r="N52" s="17">
        <f t="shared" si="8"/>
        <v>0</v>
      </c>
      <c r="O52" s="17">
        <f t="shared" si="8"/>
        <v>0</v>
      </c>
      <c r="P52" s="17">
        <f t="shared" si="8"/>
        <v>0</v>
      </c>
      <c r="Q52" s="17">
        <f t="shared" si="8"/>
        <v>0</v>
      </c>
      <c r="R52" s="17">
        <f t="shared" si="8"/>
        <v>0</v>
      </c>
      <c r="S52" s="17">
        <f t="shared" si="8"/>
        <v>0</v>
      </c>
      <c r="T52" s="17">
        <f t="shared" si="8"/>
        <v>0</v>
      </c>
      <c r="U52" s="17">
        <f t="shared" si="8"/>
        <v>0</v>
      </c>
      <c r="V52" s="17">
        <f t="shared" si="8"/>
        <v>0</v>
      </c>
      <c r="W52" s="17">
        <f t="shared" si="8"/>
        <v>0</v>
      </c>
      <c r="X52" s="17">
        <f t="shared" si="8"/>
        <v>0</v>
      </c>
      <c r="Y52" s="17">
        <f t="shared" si="8"/>
        <v>0</v>
      </c>
      <c r="Z52" s="17">
        <f t="shared" si="8"/>
        <v>0</v>
      </c>
      <c r="AA52" s="17">
        <f t="shared" si="8"/>
        <v>0</v>
      </c>
      <c r="AB52" s="17">
        <f t="shared" si="8"/>
        <v>0</v>
      </c>
      <c r="AC52" s="17">
        <f t="shared" si="8"/>
        <v>0</v>
      </c>
      <c r="AD52" s="17">
        <f t="shared" si="8"/>
        <v>0</v>
      </c>
      <c r="AE52" s="17">
        <f t="shared" si="8"/>
        <v>0</v>
      </c>
      <c r="AF52" s="17">
        <f t="shared" si="8"/>
        <v>0</v>
      </c>
      <c r="AG52" s="17">
        <f t="shared" si="8"/>
        <v>0</v>
      </c>
      <c r="AH52" s="17">
        <f t="shared" si="8"/>
        <v>0</v>
      </c>
      <c r="AI52" s="17">
        <f t="shared" si="8"/>
        <v>0</v>
      </c>
      <c r="AJ52" s="17">
        <f t="shared" si="8"/>
        <v>0</v>
      </c>
    </row>
    <row r="53" spans="2:36" ht="15.75" thickBot="1">
      <c r="B53" s="338"/>
      <c r="C53" s="336" t="s">
        <v>68</v>
      </c>
      <c r="D53" s="271" t="s">
        <v>69</v>
      </c>
      <c r="E53" s="269"/>
      <c r="F53" s="270"/>
      <c r="G53" s="270"/>
      <c r="H53" s="270"/>
      <c r="I53" s="270"/>
      <c r="J53" s="270"/>
      <c r="K53" s="270"/>
      <c r="L53" s="270"/>
      <c r="M53" s="270"/>
      <c r="N53" s="270"/>
      <c r="O53" s="270"/>
      <c r="P53" s="270"/>
      <c r="Q53" s="270"/>
      <c r="R53" s="270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  <c r="AC53" s="270"/>
      <c r="AD53" s="270"/>
      <c r="AE53" s="270"/>
      <c r="AF53" s="270"/>
      <c r="AG53" s="270"/>
      <c r="AH53" s="270"/>
      <c r="AI53" s="270"/>
      <c r="AJ53" s="11">
        <f t="shared" si="0"/>
        <v>0</v>
      </c>
    </row>
    <row r="54" spans="2:36" ht="15.75" thickBot="1">
      <c r="B54" s="338"/>
      <c r="C54" s="336"/>
      <c r="D54" s="271" t="s">
        <v>70</v>
      </c>
      <c r="E54" s="269"/>
      <c r="F54" s="270"/>
      <c r="G54" s="270"/>
      <c r="H54" s="270"/>
      <c r="I54" s="270"/>
      <c r="J54" s="270"/>
      <c r="K54" s="270"/>
      <c r="L54" s="270"/>
      <c r="M54" s="270"/>
      <c r="N54" s="270"/>
      <c r="O54" s="270"/>
      <c r="P54" s="270"/>
      <c r="Q54" s="270"/>
      <c r="R54" s="270"/>
      <c r="S54" s="270"/>
      <c r="T54" s="270"/>
      <c r="U54" s="270"/>
      <c r="V54" s="270"/>
      <c r="W54" s="270"/>
      <c r="X54" s="270"/>
      <c r="Y54" s="270"/>
      <c r="Z54" s="270"/>
      <c r="AA54" s="270"/>
      <c r="AB54" s="270"/>
      <c r="AC54" s="270"/>
      <c r="AD54" s="270"/>
      <c r="AE54" s="270"/>
      <c r="AF54" s="270"/>
      <c r="AG54" s="270"/>
      <c r="AH54" s="270"/>
      <c r="AI54" s="270"/>
      <c r="AJ54" s="11">
        <f t="shared" si="0"/>
        <v>0</v>
      </c>
    </row>
    <row r="55" spans="2:36" ht="15.75" thickBot="1">
      <c r="B55" s="338"/>
      <c r="C55" s="336"/>
      <c r="D55" s="271" t="s">
        <v>71</v>
      </c>
      <c r="E55" s="269"/>
      <c r="F55" s="270"/>
      <c r="G55" s="270"/>
      <c r="H55" s="270"/>
      <c r="I55" s="270"/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T55" s="270"/>
      <c r="U55" s="270"/>
      <c r="V55" s="270"/>
      <c r="W55" s="270"/>
      <c r="X55" s="270"/>
      <c r="Y55" s="270"/>
      <c r="Z55" s="270"/>
      <c r="AA55" s="270"/>
      <c r="AB55" s="270"/>
      <c r="AC55" s="270"/>
      <c r="AD55" s="270"/>
      <c r="AE55" s="270"/>
      <c r="AF55" s="270"/>
      <c r="AG55" s="270"/>
      <c r="AH55" s="270"/>
      <c r="AI55" s="270"/>
      <c r="AJ55" s="11">
        <f t="shared" si="0"/>
        <v>0</v>
      </c>
    </row>
    <row r="56" spans="2:36" ht="15.75" thickBot="1">
      <c r="B56" s="338"/>
      <c r="C56" s="336"/>
      <c r="D56" s="271" t="s">
        <v>52</v>
      </c>
      <c r="E56" s="269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269"/>
      <c r="Q56" s="269"/>
      <c r="R56" s="269"/>
      <c r="S56" s="269"/>
      <c r="T56" s="269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11">
        <f t="shared" si="0"/>
        <v>0</v>
      </c>
    </row>
    <row r="57" spans="2:36" ht="15.75" thickBot="1">
      <c r="B57" s="338"/>
      <c r="C57" s="336"/>
      <c r="D57" s="16" t="s">
        <v>17</v>
      </c>
      <c r="E57" s="17">
        <f>SUM(E53:E56)</f>
        <v>0</v>
      </c>
      <c r="F57" s="17">
        <f t="shared" ref="F57:AJ57" si="9">SUM(F53:F56)</f>
        <v>0</v>
      </c>
      <c r="G57" s="17">
        <f t="shared" si="9"/>
        <v>0</v>
      </c>
      <c r="H57" s="17">
        <f t="shared" si="9"/>
        <v>0</v>
      </c>
      <c r="I57" s="17">
        <f t="shared" si="9"/>
        <v>0</v>
      </c>
      <c r="J57" s="17">
        <f t="shared" si="9"/>
        <v>0</v>
      </c>
      <c r="K57" s="17">
        <f t="shared" si="9"/>
        <v>0</v>
      </c>
      <c r="L57" s="17">
        <f t="shared" si="9"/>
        <v>0</v>
      </c>
      <c r="M57" s="17">
        <f t="shared" si="9"/>
        <v>0</v>
      </c>
      <c r="N57" s="17">
        <f t="shared" si="9"/>
        <v>0</v>
      </c>
      <c r="O57" s="17">
        <f t="shared" si="9"/>
        <v>0</v>
      </c>
      <c r="P57" s="17">
        <f t="shared" si="9"/>
        <v>0</v>
      </c>
      <c r="Q57" s="17">
        <f t="shared" si="9"/>
        <v>0</v>
      </c>
      <c r="R57" s="17">
        <f t="shared" si="9"/>
        <v>0</v>
      </c>
      <c r="S57" s="17">
        <f t="shared" si="9"/>
        <v>0</v>
      </c>
      <c r="T57" s="17">
        <f t="shared" si="9"/>
        <v>0</v>
      </c>
      <c r="U57" s="17">
        <f t="shared" si="9"/>
        <v>0</v>
      </c>
      <c r="V57" s="17">
        <f t="shared" si="9"/>
        <v>0</v>
      </c>
      <c r="W57" s="17">
        <f t="shared" si="9"/>
        <v>0</v>
      </c>
      <c r="X57" s="17">
        <f t="shared" si="9"/>
        <v>0</v>
      </c>
      <c r="Y57" s="17">
        <f t="shared" si="9"/>
        <v>0</v>
      </c>
      <c r="Z57" s="17">
        <f t="shared" si="9"/>
        <v>0</v>
      </c>
      <c r="AA57" s="17">
        <f t="shared" si="9"/>
        <v>0</v>
      </c>
      <c r="AB57" s="17">
        <f t="shared" si="9"/>
        <v>0</v>
      </c>
      <c r="AC57" s="17">
        <f t="shared" si="9"/>
        <v>0</v>
      </c>
      <c r="AD57" s="17">
        <f t="shared" si="9"/>
        <v>0</v>
      </c>
      <c r="AE57" s="17">
        <f t="shared" si="9"/>
        <v>0</v>
      </c>
      <c r="AF57" s="17">
        <f t="shared" si="9"/>
        <v>0</v>
      </c>
      <c r="AG57" s="17">
        <f t="shared" si="9"/>
        <v>0</v>
      </c>
      <c r="AH57" s="17">
        <f t="shared" si="9"/>
        <v>0</v>
      </c>
      <c r="AI57" s="17">
        <f t="shared" si="9"/>
        <v>0</v>
      </c>
      <c r="AJ57" s="17">
        <f t="shared" si="9"/>
        <v>0</v>
      </c>
    </row>
    <row r="58" spans="2:36" ht="15.75" thickBot="1">
      <c r="B58" s="338"/>
      <c r="C58" s="336" t="s">
        <v>107</v>
      </c>
      <c r="D58" s="275" t="s">
        <v>88</v>
      </c>
      <c r="E58" s="269"/>
      <c r="F58" s="270"/>
      <c r="G58" s="270"/>
      <c r="H58" s="270"/>
      <c r="I58" s="270"/>
      <c r="J58" s="270"/>
      <c r="K58" s="270"/>
      <c r="L58" s="270"/>
      <c r="M58" s="270"/>
      <c r="N58" s="270"/>
      <c r="O58" s="270"/>
      <c r="P58" s="270"/>
      <c r="Q58" s="270"/>
      <c r="R58" s="270"/>
      <c r="S58" s="270"/>
      <c r="T58" s="270"/>
      <c r="U58" s="270"/>
      <c r="V58" s="270"/>
      <c r="W58" s="270"/>
      <c r="X58" s="270"/>
      <c r="Y58" s="270"/>
      <c r="Z58" s="270"/>
      <c r="AA58" s="270"/>
      <c r="AB58" s="270"/>
      <c r="AC58" s="270"/>
      <c r="AD58" s="270"/>
      <c r="AE58" s="270"/>
      <c r="AF58" s="270"/>
      <c r="AG58" s="270"/>
      <c r="AH58" s="270"/>
      <c r="AI58" s="270"/>
      <c r="AJ58" s="11">
        <f t="shared" si="0"/>
        <v>0</v>
      </c>
    </row>
    <row r="59" spans="2:36" ht="15.75" thickBot="1">
      <c r="B59" s="338"/>
      <c r="C59" s="336"/>
      <c r="D59" s="275" t="s">
        <v>89</v>
      </c>
      <c r="E59" s="269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  <c r="AC59" s="270"/>
      <c r="AD59" s="270"/>
      <c r="AE59" s="270"/>
      <c r="AF59" s="270"/>
      <c r="AG59" s="270"/>
      <c r="AH59" s="270"/>
      <c r="AI59" s="270"/>
      <c r="AJ59" s="11">
        <f t="shared" si="0"/>
        <v>0</v>
      </c>
    </row>
    <row r="60" spans="2:36" ht="15.75" thickBot="1">
      <c r="B60" s="338"/>
      <c r="C60" s="336"/>
      <c r="D60" s="275" t="s">
        <v>52</v>
      </c>
      <c r="E60" s="269"/>
      <c r="F60" s="269"/>
      <c r="G60" s="269"/>
      <c r="H60" s="269"/>
      <c r="I60" s="269"/>
      <c r="J60" s="269"/>
      <c r="K60" s="269"/>
      <c r="L60" s="269"/>
      <c r="M60" s="269"/>
      <c r="N60" s="269"/>
      <c r="O60" s="269"/>
      <c r="P60" s="269"/>
      <c r="Q60" s="269"/>
      <c r="R60" s="269"/>
      <c r="S60" s="269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11">
        <f t="shared" si="0"/>
        <v>0</v>
      </c>
    </row>
    <row r="61" spans="2:36" ht="15.75" thickBot="1">
      <c r="B61" s="338"/>
      <c r="C61" s="336"/>
      <c r="D61" s="18" t="s">
        <v>17</v>
      </c>
      <c r="E61" s="17">
        <f>SUM(E58:E60)</f>
        <v>0</v>
      </c>
      <c r="F61" s="17">
        <f t="shared" ref="F61:AJ61" si="10">SUM(F58:F60)</f>
        <v>0</v>
      </c>
      <c r="G61" s="17">
        <f t="shared" si="10"/>
        <v>0</v>
      </c>
      <c r="H61" s="17">
        <f t="shared" si="10"/>
        <v>0</v>
      </c>
      <c r="I61" s="17">
        <f t="shared" si="10"/>
        <v>0</v>
      </c>
      <c r="J61" s="17">
        <f t="shared" si="10"/>
        <v>0</v>
      </c>
      <c r="K61" s="17">
        <f t="shared" si="10"/>
        <v>0</v>
      </c>
      <c r="L61" s="17">
        <f t="shared" si="10"/>
        <v>0</v>
      </c>
      <c r="M61" s="17">
        <f t="shared" si="10"/>
        <v>0</v>
      </c>
      <c r="N61" s="17">
        <f t="shared" si="10"/>
        <v>0</v>
      </c>
      <c r="O61" s="17">
        <f t="shared" si="10"/>
        <v>0</v>
      </c>
      <c r="P61" s="17">
        <f t="shared" si="10"/>
        <v>0</v>
      </c>
      <c r="Q61" s="17">
        <f t="shared" si="10"/>
        <v>0</v>
      </c>
      <c r="R61" s="17">
        <f t="shared" si="10"/>
        <v>0</v>
      </c>
      <c r="S61" s="17">
        <f t="shared" si="10"/>
        <v>0</v>
      </c>
      <c r="T61" s="17">
        <f t="shared" si="10"/>
        <v>0</v>
      </c>
      <c r="U61" s="17">
        <f t="shared" si="10"/>
        <v>0</v>
      </c>
      <c r="V61" s="17">
        <f t="shared" si="10"/>
        <v>0</v>
      </c>
      <c r="W61" s="17">
        <f t="shared" si="10"/>
        <v>0</v>
      </c>
      <c r="X61" s="17">
        <f t="shared" si="10"/>
        <v>0</v>
      </c>
      <c r="Y61" s="17">
        <f t="shared" si="10"/>
        <v>0</v>
      </c>
      <c r="Z61" s="17">
        <f t="shared" si="10"/>
        <v>0</v>
      </c>
      <c r="AA61" s="17">
        <f t="shared" si="10"/>
        <v>0</v>
      </c>
      <c r="AB61" s="17">
        <f t="shared" si="10"/>
        <v>0</v>
      </c>
      <c r="AC61" s="17">
        <f t="shared" si="10"/>
        <v>0</v>
      </c>
      <c r="AD61" s="17">
        <f t="shared" si="10"/>
        <v>0</v>
      </c>
      <c r="AE61" s="17">
        <f t="shared" si="10"/>
        <v>0</v>
      </c>
      <c r="AF61" s="17">
        <f t="shared" si="10"/>
        <v>0</v>
      </c>
      <c r="AG61" s="17">
        <f t="shared" si="10"/>
        <v>0</v>
      </c>
      <c r="AH61" s="17">
        <f t="shared" si="10"/>
        <v>0</v>
      </c>
      <c r="AI61" s="17">
        <f t="shared" si="10"/>
        <v>0</v>
      </c>
      <c r="AJ61" s="17">
        <f t="shared" si="10"/>
        <v>0</v>
      </c>
    </row>
    <row r="62" spans="2:36" ht="15.75" thickBot="1">
      <c r="B62" s="338"/>
      <c r="C62" s="336" t="s">
        <v>72</v>
      </c>
      <c r="D62" s="275" t="s">
        <v>73</v>
      </c>
      <c r="E62" s="269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0"/>
      <c r="T62" s="270"/>
      <c r="U62" s="270"/>
      <c r="V62" s="270"/>
      <c r="W62" s="270"/>
      <c r="X62" s="270"/>
      <c r="Y62" s="270"/>
      <c r="Z62" s="270"/>
      <c r="AA62" s="270"/>
      <c r="AB62" s="270"/>
      <c r="AC62" s="270"/>
      <c r="AD62" s="270"/>
      <c r="AE62" s="270"/>
      <c r="AF62" s="270"/>
      <c r="AG62" s="270"/>
      <c r="AH62" s="270"/>
      <c r="AI62" s="270"/>
      <c r="AJ62" s="11">
        <f t="shared" si="0"/>
        <v>0</v>
      </c>
    </row>
    <row r="63" spans="2:36" ht="15.75" thickBot="1">
      <c r="B63" s="338"/>
      <c r="C63" s="336"/>
      <c r="D63" s="269" t="s">
        <v>56</v>
      </c>
      <c r="E63" s="270"/>
      <c r="F63" s="270"/>
      <c r="G63" s="270"/>
      <c r="H63" s="270"/>
      <c r="I63" s="270"/>
      <c r="J63" s="270"/>
      <c r="K63" s="270"/>
      <c r="L63" s="270"/>
      <c r="M63" s="270"/>
      <c r="N63" s="270"/>
      <c r="O63" s="270"/>
      <c r="P63" s="270"/>
      <c r="Q63" s="270"/>
      <c r="R63" s="270"/>
      <c r="S63" s="270"/>
      <c r="T63" s="270"/>
      <c r="U63" s="270"/>
      <c r="V63" s="270"/>
      <c r="W63" s="270"/>
      <c r="X63" s="270"/>
      <c r="Y63" s="270"/>
      <c r="Z63" s="270"/>
      <c r="AA63" s="270"/>
      <c r="AB63" s="270"/>
      <c r="AC63" s="270"/>
      <c r="AD63" s="270"/>
      <c r="AE63" s="270"/>
      <c r="AF63" s="270"/>
      <c r="AG63" s="270"/>
      <c r="AH63" s="270"/>
      <c r="AI63" s="270"/>
      <c r="AJ63" s="11">
        <f t="shared" si="0"/>
        <v>0</v>
      </c>
    </row>
    <row r="64" spans="2:36" ht="15.75" thickBot="1">
      <c r="B64" s="338"/>
      <c r="C64" s="336"/>
      <c r="D64" s="269" t="s">
        <v>52</v>
      </c>
      <c r="E64" s="270"/>
      <c r="F64" s="270"/>
      <c r="G64" s="270"/>
      <c r="H64" s="270"/>
      <c r="I64" s="270"/>
      <c r="J64" s="270"/>
      <c r="K64" s="270"/>
      <c r="L64" s="270"/>
      <c r="M64" s="270"/>
      <c r="N64" s="270"/>
      <c r="O64" s="270"/>
      <c r="P64" s="270"/>
      <c r="Q64" s="270"/>
      <c r="R64" s="270"/>
      <c r="S64" s="270"/>
      <c r="T64" s="270"/>
      <c r="U64" s="270"/>
      <c r="V64" s="270"/>
      <c r="W64" s="270"/>
      <c r="X64" s="270"/>
      <c r="Y64" s="270"/>
      <c r="Z64" s="270"/>
      <c r="AA64" s="270"/>
      <c r="AB64" s="270"/>
      <c r="AC64" s="270"/>
      <c r="AD64" s="270"/>
      <c r="AE64" s="270"/>
      <c r="AF64" s="270"/>
      <c r="AG64" s="270"/>
      <c r="AH64" s="270"/>
      <c r="AI64" s="270"/>
      <c r="AJ64" s="11">
        <f t="shared" si="0"/>
        <v>0</v>
      </c>
    </row>
    <row r="65" spans="2:36" ht="15.75" thickBot="1">
      <c r="B65" s="338"/>
      <c r="C65" s="336"/>
      <c r="D65" s="17" t="s">
        <v>17</v>
      </c>
      <c r="E65" s="19">
        <f>SUM(E62:E64)</f>
        <v>0</v>
      </c>
      <c r="F65" s="19">
        <f t="shared" ref="F65:AJ65" si="11">SUM(F62:F64)</f>
        <v>0</v>
      </c>
      <c r="G65" s="19">
        <f t="shared" si="11"/>
        <v>0</v>
      </c>
      <c r="H65" s="19">
        <f t="shared" si="11"/>
        <v>0</v>
      </c>
      <c r="I65" s="19">
        <f t="shared" si="11"/>
        <v>0</v>
      </c>
      <c r="J65" s="19">
        <f t="shared" si="11"/>
        <v>0</v>
      </c>
      <c r="K65" s="19">
        <f t="shared" si="11"/>
        <v>0</v>
      </c>
      <c r="L65" s="19">
        <f t="shared" si="11"/>
        <v>0</v>
      </c>
      <c r="M65" s="19">
        <f t="shared" si="11"/>
        <v>0</v>
      </c>
      <c r="N65" s="19">
        <f t="shared" si="11"/>
        <v>0</v>
      </c>
      <c r="O65" s="19">
        <f t="shared" si="11"/>
        <v>0</v>
      </c>
      <c r="P65" s="19">
        <f t="shared" si="11"/>
        <v>0</v>
      </c>
      <c r="Q65" s="19">
        <f t="shared" si="11"/>
        <v>0</v>
      </c>
      <c r="R65" s="19">
        <f t="shared" si="11"/>
        <v>0</v>
      </c>
      <c r="S65" s="19">
        <f t="shared" si="11"/>
        <v>0</v>
      </c>
      <c r="T65" s="19">
        <f t="shared" si="11"/>
        <v>0</v>
      </c>
      <c r="U65" s="19">
        <f t="shared" si="11"/>
        <v>0</v>
      </c>
      <c r="V65" s="19">
        <f t="shared" si="11"/>
        <v>0</v>
      </c>
      <c r="W65" s="19">
        <f t="shared" si="11"/>
        <v>0</v>
      </c>
      <c r="X65" s="19">
        <f t="shared" si="11"/>
        <v>0</v>
      </c>
      <c r="Y65" s="19">
        <f t="shared" si="11"/>
        <v>0</v>
      </c>
      <c r="Z65" s="19">
        <f t="shared" si="11"/>
        <v>0</v>
      </c>
      <c r="AA65" s="19">
        <f t="shared" si="11"/>
        <v>0</v>
      </c>
      <c r="AB65" s="19">
        <f t="shared" si="11"/>
        <v>0</v>
      </c>
      <c r="AC65" s="19">
        <f t="shared" si="11"/>
        <v>0</v>
      </c>
      <c r="AD65" s="19">
        <f t="shared" si="11"/>
        <v>0</v>
      </c>
      <c r="AE65" s="19">
        <f t="shared" si="11"/>
        <v>0</v>
      </c>
      <c r="AF65" s="19">
        <f t="shared" si="11"/>
        <v>0</v>
      </c>
      <c r="AG65" s="19">
        <f t="shared" si="11"/>
        <v>0</v>
      </c>
      <c r="AH65" s="19">
        <f t="shared" si="11"/>
        <v>0</v>
      </c>
      <c r="AI65" s="19">
        <f t="shared" si="11"/>
        <v>0</v>
      </c>
      <c r="AJ65" s="19">
        <f t="shared" si="11"/>
        <v>0</v>
      </c>
    </row>
    <row r="66" spans="2:36">
      <c r="B66" s="5"/>
      <c r="C66" s="5"/>
      <c r="D66" s="14" t="s">
        <v>104</v>
      </c>
      <c r="E66" s="14">
        <f t="shared" ref="E66:AI66" si="12">SUM(E13,E23,E27,E32,E36,E44,E48,E52,E57,E61,E65)</f>
        <v>0</v>
      </c>
      <c r="F66" s="14">
        <f t="shared" si="12"/>
        <v>0</v>
      </c>
      <c r="G66" s="14">
        <f t="shared" si="12"/>
        <v>0</v>
      </c>
      <c r="H66" s="14">
        <f t="shared" si="12"/>
        <v>0</v>
      </c>
      <c r="I66" s="14">
        <f t="shared" si="12"/>
        <v>0</v>
      </c>
      <c r="J66" s="14">
        <f t="shared" si="12"/>
        <v>0</v>
      </c>
      <c r="K66" s="14">
        <f t="shared" si="12"/>
        <v>0</v>
      </c>
      <c r="L66" s="14">
        <f t="shared" si="12"/>
        <v>0</v>
      </c>
      <c r="M66" s="14">
        <f t="shared" si="12"/>
        <v>0</v>
      </c>
      <c r="N66" s="14">
        <f t="shared" si="12"/>
        <v>0</v>
      </c>
      <c r="O66" s="14">
        <f t="shared" si="12"/>
        <v>0</v>
      </c>
      <c r="P66" s="14">
        <f t="shared" si="12"/>
        <v>0</v>
      </c>
      <c r="Q66" s="14">
        <f t="shared" si="12"/>
        <v>0</v>
      </c>
      <c r="R66" s="14">
        <f t="shared" si="12"/>
        <v>0</v>
      </c>
      <c r="S66" s="14">
        <f t="shared" si="12"/>
        <v>0</v>
      </c>
      <c r="T66" s="14">
        <f t="shared" si="12"/>
        <v>0</v>
      </c>
      <c r="U66" s="14">
        <f t="shared" si="12"/>
        <v>0</v>
      </c>
      <c r="V66" s="14">
        <f t="shared" si="12"/>
        <v>0</v>
      </c>
      <c r="W66" s="14">
        <f t="shared" si="12"/>
        <v>0</v>
      </c>
      <c r="X66" s="14">
        <f t="shared" si="12"/>
        <v>0</v>
      </c>
      <c r="Y66" s="14">
        <f t="shared" si="12"/>
        <v>0</v>
      </c>
      <c r="Z66" s="14">
        <f t="shared" si="12"/>
        <v>0</v>
      </c>
      <c r="AA66" s="14">
        <f t="shared" si="12"/>
        <v>0</v>
      </c>
      <c r="AB66" s="14">
        <f t="shared" si="12"/>
        <v>0</v>
      </c>
      <c r="AC66" s="14">
        <f t="shared" si="12"/>
        <v>0</v>
      </c>
      <c r="AD66" s="14">
        <f t="shared" si="12"/>
        <v>0</v>
      </c>
      <c r="AE66" s="14">
        <f t="shared" si="12"/>
        <v>0</v>
      </c>
      <c r="AF66" s="14">
        <f t="shared" si="12"/>
        <v>0</v>
      </c>
      <c r="AG66" s="14">
        <f t="shared" si="12"/>
        <v>0</v>
      </c>
      <c r="AH66" s="14">
        <f t="shared" si="12"/>
        <v>0</v>
      </c>
      <c r="AI66" s="14">
        <f t="shared" si="12"/>
        <v>0</v>
      </c>
      <c r="AJ66" s="27">
        <f t="shared" si="0"/>
        <v>0</v>
      </c>
    </row>
  </sheetData>
  <mergeCells count="13">
    <mergeCell ref="B2:AJ2"/>
    <mergeCell ref="B5:B65"/>
    <mergeCell ref="C37:C44"/>
    <mergeCell ref="C45:C48"/>
    <mergeCell ref="C49:C52"/>
    <mergeCell ref="C53:C57"/>
    <mergeCell ref="C58:C61"/>
    <mergeCell ref="C62:C65"/>
    <mergeCell ref="C5:C13"/>
    <mergeCell ref="C14:C23"/>
    <mergeCell ref="C24:C27"/>
    <mergeCell ref="C28:C32"/>
    <mergeCell ref="C33:C36"/>
  </mergeCells>
  <conditionalFormatting sqref="E28:AI31 E33:AI35 E37:AI43 E45:AI47 E49:AI51 E53:AI56 E58:AI60 E62:AI64">
    <cfRule type="notContainsBlanks" dxfId="5" priority="3">
      <formula>LEN(TRIM(E28))&gt;0</formula>
    </cfRule>
  </conditionalFormatting>
  <conditionalFormatting sqref="D5:D12 D14:D22 D24:D26 D28:D31 D33:D35 D37:D43 D45:D47 D49:D51 D53:D56 D58:D60 D62:D64">
    <cfRule type="notContainsBlanks" dxfId="4" priority="2">
      <formula>LEN(TRIM(D5))&gt;0</formula>
    </cfRule>
  </conditionalFormatting>
  <conditionalFormatting sqref="E5:AI12 E14:AI22 E24:AI26">
    <cfRule type="notContainsBlanks" dxfId="3" priority="1">
      <formula>LEN(TRIM(E5))&gt;0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17"/>
  <dimension ref="B1:AJ66"/>
  <sheetViews>
    <sheetView showGridLines="0" showRowColHeaders="0"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2" max="2" width="18.5703125" customWidth="1"/>
    <col min="3" max="3" width="18.28515625" bestFit="1" customWidth="1"/>
    <col min="4" max="4" width="19.7109375" bestFit="1" customWidth="1"/>
    <col min="5" max="35" width="12.5703125" bestFit="1" customWidth="1"/>
    <col min="36" max="36" width="13.5703125" bestFit="1" customWidth="1"/>
  </cols>
  <sheetData>
    <row r="1" spans="2:36" ht="15.75" thickBot="1"/>
    <row r="2" spans="2:36" ht="34.5" customHeight="1" thickBot="1">
      <c r="B2" s="342" t="s">
        <v>11</v>
      </c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2"/>
      <c r="AA2" s="342"/>
      <c r="AB2" s="342"/>
      <c r="AC2" s="342"/>
      <c r="AD2" s="342"/>
      <c r="AE2" s="342"/>
      <c r="AF2" s="342"/>
      <c r="AG2" s="342"/>
      <c r="AH2" s="342"/>
      <c r="AI2" s="342"/>
      <c r="AJ2" s="342"/>
    </row>
    <row r="3" spans="2:36">
      <c r="B3" s="3"/>
    </row>
    <row r="4" spans="2:36" ht="15.75" thickBot="1">
      <c r="B4" s="4"/>
      <c r="C4" s="5"/>
      <c r="D4" s="12" t="s">
        <v>57</v>
      </c>
      <c r="E4" s="13">
        <v>1</v>
      </c>
      <c r="F4" s="13">
        <v>2</v>
      </c>
      <c r="G4" s="13">
        <v>3</v>
      </c>
      <c r="H4" s="13">
        <v>4</v>
      </c>
      <c r="I4" s="13">
        <v>5</v>
      </c>
      <c r="J4" s="13">
        <v>6</v>
      </c>
      <c r="K4" s="13">
        <v>7</v>
      </c>
      <c r="L4" s="13">
        <v>8</v>
      </c>
      <c r="M4" s="13">
        <v>9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17</v>
      </c>
      <c r="V4" s="13">
        <v>18</v>
      </c>
      <c r="W4" s="13">
        <v>19</v>
      </c>
      <c r="X4" s="13">
        <v>20</v>
      </c>
      <c r="Y4" s="13">
        <v>21</v>
      </c>
      <c r="Z4" s="13">
        <v>22</v>
      </c>
      <c r="AA4" s="13">
        <v>23</v>
      </c>
      <c r="AB4" s="13">
        <v>24</v>
      </c>
      <c r="AC4" s="13">
        <v>25</v>
      </c>
      <c r="AD4" s="13">
        <v>26</v>
      </c>
      <c r="AE4" s="13">
        <v>27</v>
      </c>
      <c r="AF4" s="13">
        <v>28</v>
      </c>
      <c r="AG4" s="13">
        <v>29</v>
      </c>
      <c r="AH4" s="13">
        <v>30</v>
      </c>
      <c r="AI4" s="13">
        <v>31</v>
      </c>
      <c r="AJ4" s="27" t="s">
        <v>103</v>
      </c>
    </row>
    <row r="5" spans="2:36" ht="15.75" thickBot="1">
      <c r="B5" s="338" t="s">
        <v>127</v>
      </c>
      <c r="C5" s="336" t="s">
        <v>25</v>
      </c>
      <c r="D5" s="268" t="s">
        <v>30</v>
      </c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11">
        <f>SUM(E5:AI5)</f>
        <v>0</v>
      </c>
    </row>
    <row r="6" spans="2:36" ht="15.75" thickBot="1">
      <c r="B6" s="338"/>
      <c r="C6" s="336"/>
      <c r="D6" s="271" t="s">
        <v>26</v>
      </c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11">
        <f t="shared" ref="AJ6:AJ66" si="0">SUM(E6:AI6)</f>
        <v>0</v>
      </c>
    </row>
    <row r="7" spans="2:36" ht="15.75" thickBot="1">
      <c r="B7" s="338"/>
      <c r="C7" s="336"/>
      <c r="D7" s="271" t="s">
        <v>29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11">
        <f t="shared" si="0"/>
        <v>0</v>
      </c>
    </row>
    <row r="8" spans="2:36" ht="15.75" thickBot="1">
      <c r="B8" s="338"/>
      <c r="C8" s="336"/>
      <c r="D8" s="271" t="s">
        <v>27</v>
      </c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11">
        <f t="shared" si="0"/>
        <v>0</v>
      </c>
    </row>
    <row r="9" spans="2:36" ht="15.75" thickBot="1">
      <c r="B9" s="338"/>
      <c r="C9" s="336"/>
      <c r="D9" s="271" t="s">
        <v>28</v>
      </c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11">
        <f t="shared" si="0"/>
        <v>0</v>
      </c>
    </row>
    <row r="10" spans="2:36" ht="15.75" thickBot="1">
      <c r="B10" s="338"/>
      <c r="C10" s="336"/>
      <c r="D10" s="272" t="s">
        <v>86</v>
      </c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11">
        <f t="shared" si="0"/>
        <v>0</v>
      </c>
    </row>
    <row r="11" spans="2:36" ht="15.75" thickBot="1">
      <c r="B11" s="338"/>
      <c r="C11" s="336"/>
      <c r="D11" s="272" t="s">
        <v>87</v>
      </c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11">
        <f t="shared" si="0"/>
        <v>0</v>
      </c>
    </row>
    <row r="12" spans="2:36" ht="15.75" thickBot="1">
      <c r="B12" s="338"/>
      <c r="C12" s="336"/>
      <c r="D12" s="272" t="s">
        <v>52</v>
      </c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11">
        <f t="shared" si="0"/>
        <v>0</v>
      </c>
    </row>
    <row r="13" spans="2:36" ht="15.75" thickBot="1">
      <c r="B13" s="338"/>
      <c r="C13" s="336"/>
      <c r="D13" s="20" t="s">
        <v>17</v>
      </c>
      <c r="E13" s="21">
        <f>SUM(E5:E12)</f>
        <v>0</v>
      </c>
      <c r="F13" s="21">
        <f>SUM(F5:F12)</f>
        <v>0</v>
      </c>
      <c r="G13" s="21">
        <f>SUM(G5:G12)</f>
        <v>0</v>
      </c>
      <c r="H13" s="21">
        <f t="shared" ref="H13:AJ13" si="1">SUM(H5:H12)</f>
        <v>0</v>
      </c>
      <c r="I13" s="21">
        <f t="shared" si="1"/>
        <v>0</v>
      </c>
      <c r="J13" s="21">
        <f t="shared" si="1"/>
        <v>0</v>
      </c>
      <c r="K13" s="21">
        <f t="shared" si="1"/>
        <v>0</v>
      </c>
      <c r="L13" s="21">
        <f t="shared" si="1"/>
        <v>0</v>
      </c>
      <c r="M13" s="21">
        <f t="shared" si="1"/>
        <v>0</v>
      </c>
      <c r="N13" s="21">
        <f t="shared" si="1"/>
        <v>0</v>
      </c>
      <c r="O13" s="21">
        <f t="shared" si="1"/>
        <v>0</v>
      </c>
      <c r="P13" s="21">
        <f t="shared" si="1"/>
        <v>0</v>
      </c>
      <c r="Q13" s="21">
        <f t="shared" si="1"/>
        <v>0</v>
      </c>
      <c r="R13" s="21">
        <f t="shared" si="1"/>
        <v>0</v>
      </c>
      <c r="S13" s="21">
        <f t="shared" si="1"/>
        <v>0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21">
        <f t="shared" si="1"/>
        <v>0</v>
      </c>
      <c r="AG13" s="21">
        <f t="shared" si="1"/>
        <v>0</v>
      </c>
      <c r="AH13" s="21">
        <f t="shared" si="1"/>
        <v>0</v>
      </c>
      <c r="AI13" s="21">
        <f t="shared" si="1"/>
        <v>0</v>
      </c>
      <c r="AJ13" s="21">
        <f t="shared" si="1"/>
        <v>0</v>
      </c>
    </row>
    <row r="14" spans="2:36" ht="15.75" thickBot="1">
      <c r="B14" s="338"/>
      <c r="C14" s="336" t="s">
        <v>23</v>
      </c>
      <c r="D14" s="273" t="s">
        <v>31</v>
      </c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11">
        <f t="shared" si="0"/>
        <v>0</v>
      </c>
    </row>
    <row r="15" spans="2:36" ht="15.75" thickBot="1">
      <c r="B15" s="338"/>
      <c r="C15" s="336"/>
      <c r="D15" s="271" t="s">
        <v>32</v>
      </c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11">
        <f t="shared" si="0"/>
        <v>0</v>
      </c>
    </row>
    <row r="16" spans="2:36" ht="15.75" thickBot="1">
      <c r="B16" s="338"/>
      <c r="C16" s="336"/>
      <c r="D16" s="271" t="s">
        <v>33</v>
      </c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11">
        <f t="shared" si="0"/>
        <v>0</v>
      </c>
    </row>
    <row r="17" spans="2:36" ht="15.75" thickBot="1">
      <c r="B17" s="338"/>
      <c r="C17" s="336"/>
      <c r="D17" s="271" t="s">
        <v>54</v>
      </c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  <c r="AJ17" s="11">
        <f t="shared" si="0"/>
        <v>0</v>
      </c>
    </row>
    <row r="18" spans="2:36" ht="15.75" thickBot="1">
      <c r="B18" s="338"/>
      <c r="C18" s="336"/>
      <c r="D18" s="271" t="s">
        <v>55</v>
      </c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  <c r="AJ18" s="11">
        <f t="shared" si="0"/>
        <v>0</v>
      </c>
    </row>
    <row r="19" spans="2:36" ht="15.75" thickBot="1">
      <c r="B19" s="338"/>
      <c r="C19" s="336"/>
      <c r="D19" s="271" t="s">
        <v>38</v>
      </c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  <c r="AF19" s="269"/>
      <c r="AG19" s="269"/>
      <c r="AH19" s="269"/>
      <c r="AI19" s="269"/>
      <c r="AJ19" s="11">
        <f t="shared" si="0"/>
        <v>0</v>
      </c>
    </row>
    <row r="20" spans="2:36" ht="15.75" thickBot="1">
      <c r="B20" s="338"/>
      <c r="C20" s="336"/>
      <c r="D20" s="271" t="s">
        <v>37</v>
      </c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  <c r="AF20" s="269"/>
      <c r="AG20" s="269"/>
      <c r="AH20" s="269"/>
      <c r="AI20" s="269"/>
      <c r="AJ20" s="11">
        <f t="shared" si="0"/>
        <v>0</v>
      </c>
    </row>
    <row r="21" spans="2:36" ht="15.75" thickBot="1">
      <c r="B21" s="338"/>
      <c r="C21" s="336"/>
      <c r="D21" s="271" t="s">
        <v>75</v>
      </c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  <c r="AF21" s="269"/>
      <c r="AG21" s="269"/>
      <c r="AH21" s="269"/>
      <c r="AI21" s="269"/>
      <c r="AJ21" s="11">
        <f t="shared" si="0"/>
        <v>0</v>
      </c>
    </row>
    <row r="22" spans="2:36" ht="15.75" thickBot="1">
      <c r="B22" s="338"/>
      <c r="C22" s="336"/>
      <c r="D22" s="271" t="s">
        <v>52</v>
      </c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  <c r="AF22" s="269"/>
      <c r="AG22" s="269"/>
      <c r="AH22" s="269"/>
      <c r="AI22" s="269"/>
      <c r="AJ22" s="11">
        <f t="shared" si="0"/>
        <v>0</v>
      </c>
    </row>
    <row r="23" spans="2:36" ht="15.75" thickBot="1">
      <c r="B23" s="338"/>
      <c r="C23" s="336"/>
      <c r="D23" s="22" t="s">
        <v>17</v>
      </c>
      <c r="E23" s="21">
        <f>SUM(E14:E22)</f>
        <v>0</v>
      </c>
      <c r="F23" s="21">
        <f>SUM(F14:F22)</f>
        <v>0</v>
      </c>
      <c r="G23" s="21">
        <f t="shared" ref="G23:AJ23" si="2">SUM(G14:G22)</f>
        <v>0</v>
      </c>
      <c r="H23" s="21">
        <f t="shared" si="2"/>
        <v>0</v>
      </c>
      <c r="I23" s="21">
        <f t="shared" si="2"/>
        <v>0</v>
      </c>
      <c r="J23" s="21">
        <f t="shared" si="2"/>
        <v>0</v>
      </c>
      <c r="K23" s="21">
        <f t="shared" si="2"/>
        <v>0</v>
      </c>
      <c r="L23" s="21">
        <f t="shared" si="2"/>
        <v>0</v>
      </c>
      <c r="M23" s="21">
        <f t="shared" si="2"/>
        <v>0</v>
      </c>
      <c r="N23" s="21">
        <f t="shared" si="2"/>
        <v>0</v>
      </c>
      <c r="O23" s="21">
        <f t="shared" si="2"/>
        <v>0</v>
      </c>
      <c r="P23" s="21">
        <f t="shared" si="2"/>
        <v>0</v>
      </c>
      <c r="Q23" s="21">
        <f t="shared" si="2"/>
        <v>0</v>
      </c>
      <c r="R23" s="21">
        <f t="shared" si="2"/>
        <v>0</v>
      </c>
      <c r="S23" s="21">
        <f t="shared" si="2"/>
        <v>0</v>
      </c>
      <c r="T23" s="21">
        <f t="shared" si="2"/>
        <v>0</v>
      </c>
      <c r="U23" s="21">
        <f t="shared" si="2"/>
        <v>0</v>
      </c>
      <c r="V23" s="21">
        <f t="shared" si="2"/>
        <v>0</v>
      </c>
      <c r="W23" s="21">
        <f t="shared" si="2"/>
        <v>0</v>
      </c>
      <c r="X23" s="21">
        <f t="shared" si="2"/>
        <v>0</v>
      </c>
      <c r="Y23" s="21">
        <f t="shared" si="2"/>
        <v>0</v>
      </c>
      <c r="Z23" s="21">
        <f t="shared" si="2"/>
        <v>0</v>
      </c>
      <c r="AA23" s="21">
        <f t="shared" si="2"/>
        <v>0</v>
      </c>
      <c r="AB23" s="21">
        <f t="shared" si="2"/>
        <v>0</v>
      </c>
      <c r="AC23" s="21">
        <f t="shared" si="2"/>
        <v>0</v>
      </c>
      <c r="AD23" s="21">
        <f t="shared" si="2"/>
        <v>0</v>
      </c>
      <c r="AE23" s="21">
        <f t="shared" si="2"/>
        <v>0</v>
      </c>
      <c r="AF23" s="21">
        <f t="shared" si="2"/>
        <v>0</v>
      </c>
      <c r="AG23" s="21">
        <f t="shared" si="2"/>
        <v>0</v>
      </c>
      <c r="AH23" s="21">
        <f t="shared" si="2"/>
        <v>0</v>
      </c>
      <c r="AI23" s="21">
        <f t="shared" si="2"/>
        <v>0</v>
      </c>
      <c r="AJ23" s="21">
        <f t="shared" si="2"/>
        <v>0</v>
      </c>
    </row>
    <row r="24" spans="2:36" ht="15.75" thickBot="1">
      <c r="B24" s="338"/>
      <c r="C24" s="336" t="s">
        <v>39</v>
      </c>
      <c r="D24" s="271" t="s">
        <v>40</v>
      </c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  <c r="AF24" s="269"/>
      <c r="AG24" s="269"/>
      <c r="AH24" s="269"/>
      <c r="AI24" s="269"/>
      <c r="AJ24" s="11">
        <f t="shared" si="0"/>
        <v>0</v>
      </c>
    </row>
    <row r="25" spans="2:36" ht="15.75" thickBot="1">
      <c r="B25" s="338"/>
      <c r="C25" s="336"/>
      <c r="D25" s="271" t="s">
        <v>41</v>
      </c>
      <c r="E25" s="269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  <c r="AF25" s="269"/>
      <c r="AG25" s="269"/>
      <c r="AH25" s="269"/>
      <c r="AI25" s="269"/>
      <c r="AJ25" s="11">
        <f t="shared" si="0"/>
        <v>0</v>
      </c>
    </row>
    <row r="26" spans="2:36" ht="15.75" thickBot="1">
      <c r="B26" s="338"/>
      <c r="C26" s="336"/>
      <c r="D26" s="271" t="s">
        <v>52</v>
      </c>
      <c r="E26" s="269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  <c r="AF26" s="269"/>
      <c r="AG26" s="269"/>
      <c r="AH26" s="269"/>
      <c r="AI26" s="269"/>
      <c r="AJ26" s="11">
        <f t="shared" si="0"/>
        <v>0</v>
      </c>
    </row>
    <row r="27" spans="2:36" ht="15.75" thickBot="1">
      <c r="B27" s="338"/>
      <c r="C27" s="336"/>
      <c r="D27" s="16" t="s">
        <v>17</v>
      </c>
      <c r="E27" s="17">
        <f>SUM(E24:E26)</f>
        <v>0</v>
      </c>
      <c r="F27" s="17">
        <f t="shared" ref="F27:AJ27" si="3">SUM(F24:F26)</f>
        <v>0</v>
      </c>
      <c r="G27" s="17">
        <f t="shared" si="3"/>
        <v>0</v>
      </c>
      <c r="H27" s="17">
        <f t="shared" si="3"/>
        <v>0</v>
      </c>
      <c r="I27" s="17">
        <f t="shared" si="3"/>
        <v>0</v>
      </c>
      <c r="J27" s="17">
        <f t="shared" si="3"/>
        <v>0</v>
      </c>
      <c r="K27" s="17">
        <f t="shared" si="3"/>
        <v>0</v>
      </c>
      <c r="L27" s="17">
        <f t="shared" si="3"/>
        <v>0</v>
      </c>
      <c r="M27" s="17">
        <f t="shared" si="3"/>
        <v>0</v>
      </c>
      <c r="N27" s="17">
        <f t="shared" si="3"/>
        <v>0</v>
      </c>
      <c r="O27" s="17">
        <f t="shared" si="3"/>
        <v>0</v>
      </c>
      <c r="P27" s="17">
        <f t="shared" si="3"/>
        <v>0</v>
      </c>
      <c r="Q27" s="17">
        <f t="shared" si="3"/>
        <v>0</v>
      </c>
      <c r="R27" s="17">
        <f t="shared" si="3"/>
        <v>0</v>
      </c>
      <c r="S27" s="17">
        <f t="shared" si="3"/>
        <v>0</v>
      </c>
      <c r="T27" s="17">
        <f t="shared" si="3"/>
        <v>0</v>
      </c>
      <c r="U27" s="17">
        <f t="shared" si="3"/>
        <v>0</v>
      </c>
      <c r="V27" s="17">
        <f t="shared" si="3"/>
        <v>0</v>
      </c>
      <c r="W27" s="17">
        <f t="shared" si="3"/>
        <v>0</v>
      </c>
      <c r="X27" s="17">
        <f t="shared" si="3"/>
        <v>0</v>
      </c>
      <c r="Y27" s="17">
        <f t="shared" si="3"/>
        <v>0</v>
      </c>
      <c r="Z27" s="17">
        <f t="shared" si="3"/>
        <v>0</v>
      </c>
      <c r="AA27" s="17">
        <f t="shared" si="3"/>
        <v>0</v>
      </c>
      <c r="AB27" s="17">
        <f t="shared" si="3"/>
        <v>0</v>
      </c>
      <c r="AC27" s="17">
        <f t="shared" si="3"/>
        <v>0</v>
      </c>
      <c r="AD27" s="17">
        <f t="shared" si="3"/>
        <v>0</v>
      </c>
      <c r="AE27" s="17">
        <f t="shared" si="3"/>
        <v>0</v>
      </c>
      <c r="AF27" s="17">
        <f t="shared" si="3"/>
        <v>0</v>
      </c>
      <c r="AG27" s="17">
        <f t="shared" si="3"/>
        <v>0</v>
      </c>
      <c r="AH27" s="17">
        <f t="shared" si="3"/>
        <v>0</v>
      </c>
      <c r="AI27" s="17">
        <f t="shared" si="3"/>
        <v>0</v>
      </c>
      <c r="AJ27" s="17">
        <f t="shared" si="3"/>
        <v>0</v>
      </c>
    </row>
    <row r="28" spans="2:36" ht="15.75" thickBot="1">
      <c r="B28" s="338"/>
      <c r="C28" s="336" t="s">
        <v>45</v>
      </c>
      <c r="D28" s="271" t="s">
        <v>79</v>
      </c>
      <c r="E28" s="269"/>
      <c r="F28" s="270"/>
      <c r="G28" s="270"/>
      <c r="H28" s="270"/>
      <c r="I28" s="270"/>
      <c r="J28" s="270"/>
      <c r="K28" s="270"/>
      <c r="L28" s="270"/>
      <c r="M28" s="270"/>
      <c r="N28" s="270"/>
      <c r="O28" s="270"/>
      <c r="P28" s="270"/>
      <c r="Q28" s="270"/>
      <c r="R28" s="270"/>
      <c r="S28" s="270"/>
      <c r="T28" s="270"/>
      <c r="U28" s="270"/>
      <c r="V28" s="270"/>
      <c r="W28" s="270"/>
      <c r="X28" s="270"/>
      <c r="Y28" s="270"/>
      <c r="Z28" s="270"/>
      <c r="AA28" s="270"/>
      <c r="AB28" s="270"/>
      <c r="AC28" s="270"/>
      <c r="AD28" s="270"/>
      <c r="AE28" s="270"/>
      <c r="AF28" s="270"/>
      <c r="AG28" s="270"/>
      <c r="AH28" s="270"/>
      <c r="AI28" s="270"/>
      <c r="AJ28" s="11">
        <f t="shared" si="0"/>
        <v>0</v>
      </c>
    </row>
    <row r="29" spans="2:36" ht="15.75" thickBot="1">
      <c r="B29" s="338"/>
      <c r="C29" s="336"/>
      <c r="D29" s="271" t="s">
        <v>78</v>
      </c>
      <c r="E29" s="269"/>
      <c r="F29" s="270"/>
      <c r="G29" s="270"/>
      <c r="H29" s="270"/>
      <c r="I29" s="270"/>
      <c r="J29" s="270"/>
      <c r="K29" s="270"/>
      <c r="L29" s="270"/>
      <c r="M29" s="270"/>
      <c r="N29" s="270"/>
      <c r="O29" s="270"/>
      <c r="P29" s="270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11">
        <f t="shared" si="0"/>
        <v>0</v>
      </c>
    </row>
    <row r="30" spans="2:36" ht="15.75" thickBot="1">
      <c r="B30" s="338"/>
      <c r="C30" s="336"/>
      <c r="D30" s="271" t="s">
        <v>48</v>
      </c>
      <c r="E30" s="269"/>
      <c r="F30" s="270"/>
      <c r="G30" s="270"/>
      <c r="H30" s="270"/>
      <c r="I30" s="270"/>
      <c r="J30" s="270"/>
      <c r="K30" s="270"/>
      <c r="L30" s="270"/>
      <c r="M30" s="270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11">
        <f t="shared" si="0"/>
        <v>0</v>
      </c>
    </row>
    <row r="31" spans="2:36" ht="15.75" thickBot="1">
      <c r="B31" s="338"/>
      <c r="C31" s="336"/>
      <c r="D31" s="271" t="s">
        <v>52</v>
      </c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11">
        <f t="shared" si="0"/>
        <v>0</v>
      </c>
    </row>
    <row r="32" spans="2:36" ht="15.75" thickBot="1">
      <c r="B32" s="338"/>
      <c r="C32" s="336"/>
      <c r="D32" s="16" t="s">
        <v>17</v>
      </c>
      <c r="E32" s="17">
        <f>SUM(E28:E31)</f>
        <v>0</v>
      </c>
      <c r="F32" s="17">
        <f t="shared" ref="F32:AJ32" si="4">SUM(F28:F31)</f>
        <v>0</v>
      </c>
      <c r="G32" s="17">
        <f t="shared" si="4"/>
        <v>0</v>
      </c>
      <c r="H32" s="17">
        <f t="shared" si="4"/>
        <v>0</v>
      </c>
      <c r="I32" s="17">
        <f t="shared" si="4"/>
        <v>0</v>
      </c>
      <c r="J32" s="17">
        <f t="shared" si="4"/>
        <v>0</v>
      </c>
      <c r="K32" s="17">
        <f t="shared" si="4"/>
        <v>0</v>
      </c>
      <c r="L32" s="17">
        <f t="shared" si="4"/>
        <v>0</v>
      </c>
      <c r="M32" s="17">
        <f t="shared" si="4"/>
        <v>0</v>
      </c>
      <c r="N32" s="17">
        <f t="shared" si="4"/>
        <v>0</v>
      </c>
      <c r="O32" s="17">
        <f t="shared" si="4"/>
        <v>0</v>
      </c>
      <c r="P32" s="17">
        <f t="shared" si="4"/>
        <v>0</v>
      </c>
      <c r="Q32" s="17">
        <f t="shared" si="4"/>
        <v>0</v>
      </c>
      <c r="R32" s="17">
        <f t="shared" si="4"/>
        <v>0</v>
      </c>
      <c r="S32" s="17">
        <f t="shared" si="4"/>
        <v>0</v>
      </c>
      <c r="T32" s="17">
        <f t="shared" si="4"/>
        <v>0</v>
      </c>
      <c r="U32" s="17">
        <f t="shared" si="4"/>
        <v>0</v>
      </c>
      <c r="V32" s="17">
        <f t="shared" si="4"/>
        <v>0</v>
      </c>
      <c r="W32" s="17">
        <f t="shared" si="4"/>
        <v>0</v>
      </c>
      <c r="X32" s="17">
        <f t="shared" si="4"/>
        <v>0</v>
      </c>
      <c r="Y32" s="17">
        <f t="shared" si="4"/>
        <v>0</v>
      </c>
      <c r="Z32" s="17">
        <f t="shared" si="4"/>
        <v>0</v>
      </c>
      <c r="AA32" s="17">
        <f t="shared" si="4"/>
        <v>0</v>
      </c>
      <c r="AB32" s="17">
        <f t="shared" si="4"/>
        <v>0</v>
      </c>
      <c r="AC32" s="17">
        <f t="shared" si="4"/>
        <v>0</v>
      </c>
      <c r="AD32" s="17">
        <f t="shared" si="4"/>
        <v>0</v>
      </c>
      <c r="AE32" s="17">
        <f t="shared" si="4"/>
        <v>0</v>
      </c>
      <c r="AF32" s="17">
        <f t="shared" si="4"/>
        <v>0</v>
      </c>
      <c r="AG32" s="17">
        <f t="shared" si="4"/>
        <v>0</v>
      </c>
      <c r="AH32" s="17">
        <f t="shared" si="4"/>
        <v>0</v>
      </c>
      <c r="AI32" s="17">
        <f t="shared" si="4"/>
        <v>0</v>
      </c>
      <c r="AJ32" s="17">
        <f t="shared" si="4"/>
        <v>0</v>
      </c>
    </row>
    <row r="33" spans="2:36" ht="15.75" thickBot="1">
      <c r="B33" s="338"/>
      <c r="C33" s="336" t="s">
        <v>22</v>
      </c>
      <c r="D33" s="271" t="s">
        <v>34</v>
      </c>
      <c r="E33" s="269"/>
      <c r="F33" s="270"/>
      <c r="G33" s="270"/>
      <c r="H33" s="270"/>
      <c r="I33" s="270"/>
      <c r="J33" s="270"/>
      <c r="K33" s="270"/>
      <c r="L33" s="270"/>
      <c r="M33" s="270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11">
        <f t="shared" si="0"/>
        <v>0</v>
      </c>
    </row>
    <row r="34" spans="2:36" ht="15.75" thickBot="1">
      <c r="B34" s="338"/>
      <c r="C34" s="336"/>
      <c r="D34" s="271" t="s">
        <v>35</v>
      </c>
      <c r="E34" s="269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11">
        <f t="shared" si="0"/>
        <v>0</v>
      </c>
    </row>
    <row r="35" spans="2:36" ht="15.75" thickBot="1">
      <c r="B35" s="338"/>
      <c r="C35" s="336"/>
      <c r="D35" s="271" t="s">
        <v>52</v>
      </c>
      <c r="E35" s="269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11">
        <f t="shared" si="0"/>
        <v>0</v>
      </c>
    </row>
    <row r="36" spans="2:36" ht="15.75" thickBot="1">
      <c r="B36" s="338"/>
      <c r="C36" s="336"/>
      <c r="D36" s="16" t="s">
        <v>17</v>
      </c>
      <c r="E36" s="17">
        <f>SUM(E33:E35)</f>
        <v>0</v>
      </c>
      <c r="F36" s="17">
        <f t="shared" ref="F36:AJ36" si="5">SUM(F33:F35)</f>
        <v>0</v>
      </c>
      <c r="G36" s="17">
        <f t="shared" si="5"/>
        <v>0</v>
      </c>
      <c r="H36" s="17">
        <f t="shared" si="5"/>
        <v>0</v>
      </c>
      <c r="I36" s="17">
        <f t="shared" si="5"/>
        <v>0</v>
      </c>
      <c r="J36" s="17">
        <f t="shared" si="5"/>
        <v>0</v>
      </c>
      <c r="K36" s="17">
        <f t="shared" si="5"/>
        <v>0</v>
      </c>
      <c r="L36" s="17">
        <f t="shared" si="5"/>
        <v>0</v>
      </c>
      <c r="M36" s="17">
        <f t="shared" si="5"/>
        <v>0</v>
      </c>
      <c r="N36" s="17">
        <f t="shared" si="5"/>
        <v>0</v>
      </c>
      <c r="O36" s="17">
        <f t="shared" si="5"/>
        <v>0</v>
      </c>
      <c r="P36" s="17">
        <f t="shared" si="5"/>
        <v>0</v>
      </c>
      <c r="Q36" s="17">
        <f t="shared" si="5"/>
        <v>0</v>
      </c>
      <c r="R36" s="17">
        <f t="shared" si="5"/>
        <v>0</v>
      </c>
      <c r="S36" s="17">
        <f t="shared" si="5"/>
        <v>0</v>
      </c>
      <c r="T36" s="17">
        <f t="shared" si="5"/>
        <v>0</v>
      </c>
      <c r="U36" s="17">
        <f t="shared" si="5"/>
        <v>0</v>
      </c>
      <c r="V36" s="17">
        <f t="shared" si="5"/>
        <v>0</v>
      </c>
      <c r="W36" s="17">
        <f t="shared" si="5"/>
        <v>0</v>
      </c>
      <c r="X36" s="17">
        <f t="shared" si="5"/>
        <v>0</v>
      </c>
      <c r="Y36" s="17">
        <f t="shared" si="5"/>
        <v>0</v>
      </c>
      <c r="Z36" s="17">
        <f t="shared" si="5"/>
        <v>0</v>
      </c>
      <c r="AA36" s="17">
        <f t="shared" si="5"/>
        <v>0</v>
      </c>
      <c r="AB36" s="17">
        <f t="shared" si="5"/>
        <v>0</v>
      </c>
      <c r="AC36" s="17">
        <f t="shared" si="5"/>
        <v>0</v>
      </c>
      <c r="AD36" s="17">
        <f t="shared" si="5"/>
        <v>0</v>
      </c>
      <c r="AE36" s="17">
        <f t="shared" si="5"/>
        <v>0</v>
      </c>
      <c r="AF36" s="17">
        <f t="shared" si="5"/>
        <v>0</v>
      </c>
      <c r="AG36" s="17">
        <f t="shared" si="5"/>
        <v>0</v>
      </c>
      <c r="AH36" s="17">
        <f t="shared" si="5"/>
        <v>0</v>
      </c>
      <c r="AI36" s="17">
        <f t="shared" si="5"/>
        <v>0</v>
      </c>
      <c r="AJ36" s="17">
        <f t="shared" si="5"/>
        <v>0</v>
      </c>
    </row>
    <row r="37" spans="2:36" ht="15.75" thickBot="1">
      <c r="B37" s="338"/>
      <c r="C37" s="336" t="s">
        <v>58</v>
      </c>
      <c r="D37" s="274" t="s">
        <v>91</v>
      </c>
      <c r="E37" s="269"/>
      <c r="F37" s="270"/>
      <c r="G37" s="270"/>
      <c r="H37" s="270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11">
        <f t="shared" si="0"/>
        <v>0</v>
      </c>
    </row>
    <row r="38" spans="2:36" ht="15.75" thickBot="1">
      <c r="B38" s="338"/>
      <c r="C38" s="336"/>
      <c r="D38" s="271" t="s">
        <v>60</v>
      </c>
      <c r="E38" s="269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  <c r="AC38" s="270"/>
      <c r="AD38" s="270"/>
      <c r="AE38" s="270"/>
      <c r="AF38" s="270"/>
      <c r="AG38" s="270"/>
      <c r="AH38" s="270"/>
      <c r="AI38" s="270"/>
      <c r="AJ38" s="11">
        <f t="shared" si="0"/>
        <v>0</v>
      </c>
    </row>
    <row r="39" spans="2:36" ht="15.75" thickBot="1">
      <c r="B39" s="338"/>
      <c r="C39" s="336"/>
      <c r="D39" s="271" t="s">
        <v>61</v>
      </c>
      <c r="E39" s="269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270"/>
      <c r="Q39" s="27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0"/>
      <c r="AH39" s="270"/>
      <c r="AI39" s="270"/>
      <c r="AJ39" s="11">
        <f t="shared" si="0"/>
        <v>0</v>
      </c>
    </row>
    <row r="40" spans="2:36" ht="15.75" thickBot="1">
      <c r="B40" s="338"/>
      <c r="C40" s="336"/>
      <c r="D40" s="271" t="s">
        <v>62</v>
      </c>
      <c r="E40" s="269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270"/>
      <c r="V40" s="270"/>
      <c r="W40" s="270"/>
      <c r="X40" s="270"/>
      <c r="Y40" s="270"/>
      <c r="Z40" s="270"/>
      <c r="AA40" s="270"/>
      <c r="AB40" s="270"/>
      <c r="AC40" s="270"/>
      <c r="AD40" s="270"/>
      <c r="AE40" s="270"/>
      <c r="AF40" s="270"/>
      <c r="AG40" s="270"/>
      <c r="AH40" s="270"/>
      <c r="AI40" s="270"/>
      <c r="AJ40" s="11">
        <f t="shared" si="0"/>
        <v>0</v>
      </c>
    </row>
    <row r="41" spans="2:36" ht="15.75" thickBot="1">
      <c r="B41" s="338"/>
      <c r="C41" s="336"/>
      <c r="D41" s="271" t="s">
        <v>81</v>
      </c>
      <c r="E41" s="269"/>
      <c r="F41" s="270"/>
      <c r="G41" s="270"/>
      <c r="H41" s="270"/>
      <c r="I41" s="270"/>
      <c r="J41" s="270"/>
      <c r="K41" s="270"/>
      <c r="L41" s="270"/>
      <c r="M41" s="270"/>
      <c r="N41" s="270"/>
      <c r="O41" s="270"/>
      <c r="P41" s="270"/>
      <c r="Q41" s="27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  <c r="AC41" s="270"/>
      <c r="AD41" s="270"/>
      <c r="AE41" s="270"/>
      <c r="AF41" s="270"/>
      <c r="AG41" s="270"/>
      <c r="AH41" s="270"/>
      <c r="AI41" s="270"/>
      <c r="AJ41" s="11">
        <f t="shared" si="0"/>
        <v>0</v>
      </c>
    </row>
    <row r="42" spans="2:36" ht="15.75" thickBot="1">
      <c r="B42" s="338"/>
      <c r="C42" s="336"/>
      <c r="D42" s="271" t="s">
        <v>110</v>
      </c>
      <c r="E42" s="269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11">
        <f t="shared" si="0"/>
        <v>0</v>
      </c>
    </row>
    <row r="43" spans="2:36" ht="15.75" thickBot="1">
      <c r="B43" s="338"/>
      <c r="C43" s="336"/>
      <c r="D43" s="271" t="s">
        <v>52</v>
      </c>
      <c r="E43" s="269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69"/>
      <c r="Q43" s="269"/>
      <c r="R43" s="269"/>
      <c r="S43" s="269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11">
        <f t="shared" si="0"/>
        <v>0</v>
      </c>
    </row>
    <row r="44" spans="2:36" ht="15.75" thickBot="1">
      <c r="B44" s="338"/>
      <c r="C44" s="336"/>
      <c r="D44" s="16" t="s">
        <v>17</v>
      </c>
      <c r="E44" s="17">
        <f>SUM(E37:E43)</f>
        <v>0</v>
      </c>
      <c r="F44" s="17">
        <f t="shared" ref="F44:AJ44" si="6">SUM(F37:F43)</f>
        <v>0</v>
      </c>
      <c r="G44" s="17">
        <f t="shared" si="6"/>
        <v>0</v>
      </c>
      <c r="H44" s="17">
        <f t="shared" si="6"/>
        <v>0</v>
      </c>
      <c r="I44" s="17">
        <f t="shared" si="6"/>
        <v>0</v>
      </c>
      <c r="J44" s="17">
        <f t="shared" si="6"/>
        <v>0</v>
      </c>
      <c r="K44" s="17">
        <f t="shared" si="6"/>
        <v>0</v>
      </c>
      <c r="L44" s="17">
        <f t="shared" si="6"/>
        <v>0</v>
      </c>
      <c r="M44" s="17">
        <f t="shared" si="6"/>
        <v>0</v>
      </c>
      <c r="N44" s="17">
        <f t="shared" si="6"/>
        <v>0</v>
      </c>
      <c r="O44" s="17">
        <f t="shared" si="6"/>
        <v>0</v>
      </c>
      <c r="P44" s="17">
        <f t="shared" si="6"/>
        <v>0</v>
      </c>
      <c r="Q44" s="17">
        <f t="shared" si="6"/>
        <v>0</v>
      </c>
      <c r="R44" s="17">
        <f t="shared" si="6"/>
        <v>0</v>
      </c>
      <c r="S44" s="17">
        <f t="shared" si="6"/>
        <v>0</v>
      </c>
      <c r="T44" s="17">
        <f t="shared" si="6"/>
        <v>0</v>
      </c>
      <c r="U44" s="17">
        <f t="shared" si="6"/>
        <v>0</v>
      </c>
      <c r="V44" s="17">
        <f t="shared" si="6"/>
        <v>0</v>
      </c>
      <c r="W44" s="17">
        <f t="shared" si="6"/>
        <v>0</v>
      </c>
      <c r="X44" s="17">
        <f t="shared" si="6"/>
        <v>0</v>
      </c>
      <c r="Y44" s="17">
        <f t="shared" si="6"/>
        <v>0</v>
      </c>
      <c r="Z44" s="17">
        <f t="shared" si="6"/>
        <v>0</v>
      </c>
      <c r="AA44" s="17">
        <f t="shared" si="6"/>
        <v>0</v>
      </c>
      <c r="AB44" s="17">
        <f t="shared" si="6"/>
        <v>0</v>
      </c>
      <c r="AC44" s="17">
        <f t="shared" si="6"/>
        <v>0</v>
      </c>
      <c r="AD44" s="17">
        <f t="shared" si="6"/>
        <v>0</v>
      </c>
      <c r="AE44" s="17">
        <f t="shared" si="6"/>
        <v>0</v>
      </c>
      <c r="AF44" s="17">
        <f t="shared" si="6"/>
        <v>0</v>
      </c>
      <c r="AG44" s="17">
        <f t="shared" si="6"/>
        <v>0</v>
      </c>
      <c r="AH44" s="17">
        <f t="shared" si="6"/>
        <v>0</v>
      </c>
      <c r="AI44" s="17">
        <f t="shared" si="6"/>
        <v>0</v>
      </c>
      <c r="AJ44" s="17">
        <f t="shared" si="6"/>
        <v>0</v>
      </c>
    </row>
    <row r="45" spans="2:36" ht="15.75" thickBot="1">
      <c r="B45" s="338"/>
      <c r="C45" s="336" t="s">
        <v>36</v>
      </c>
      <c r="D45" s="271" t="s">
        <v>63</v>
      </c>
      <c r="E45" s="269"/>
      <c r="F45" s="270"/>
      <c r="G45" s="270"/>
      <c r="H45" s="270"/>
      <c r="I45" s="270"/>
      <c r="J45" s="270"/>
      <c r="K45" s="270"/>
      <c r="L45" s="270"/>
      <c r="M45" s="270"/>
      <c r="N45" s="270"/>
      <c r="O45" s="270"/>
      <c r="P45" s="270"/>
      <c r="Q45" s="270"/>
      <c r="R45" s="270"/>
      <c r="S45" s="270"/>
      <c r="T45" s="270"/>
      <c r="U45" s="270"/>
      <c r="V45" s="270"/>
      <c r="W45" s="270"/>
      <c r="X45" s="270"/>
      <c r="Y45" s="270"/>
      <c r="Z45" s="270"/>
      <c r="AA45" s="270"/>
      <c r="AB45" s="270"/>
      <c r="AC45" s="270"/>
      <c r="AD45" s="270"/>
      <c r="AE45" s="270"/>
      <c r="AF45" s="270"/>
      <c r="AG45" s="270"/>
      <c r="AH45" s="270"/>
      <c r="AI45" s="270"/>
      <c r="AJ45" s="11">
        <f t="shared" si="0"/>
        <v>0</v>
      </c>
    </row>
    <row r="46" spans="2:36" ht="15.75" thickBot="1">
      <c r="B46" s="338"/>
      <c r="C46" s="336"/>
      <c r="D46" s="271" t="s">
        <v>64</v>
      </c>
      <c r="E46" s="269"/>
      <c r="F46" s="270"/>
      <c r="G46" s="270"/>
      <c r="H46" s="270"/>
      <c r="I46" s="270"/>
      <c r="J46" s="270"/>
      <c r="K46" s="270"/>
      <c r="L46" s="270"/>
      <c r="M46" s="270"/>
      <c r="N46" s="270"/>
      <c r="O46" s="270"/>
      <c r="P46" s="270"/>
      <c r="Q46" s="270"/>
      <c r="R46" s="270"/>
      <c r="S46" s="270"/>
      <c r="T46" s="270"/>
      <c r="U46" s="270"/>
      <c r="V46" s="270"/>
      <c r="W46" s="270"/>
      <c r="X46" s="270"/>
      <c r="Y46" s="270"/>
      <c r="Z46" s="270"/>
      <c r="AA46" s="270"/>
      <c r="AB46" s="270"/>
      <c r="AC46" s="270"/>
      <c r="AD46" s="270"/>
      <c r="AE46" s="270"/>
      <c r="AF46" s="270"/>
      <c r="AG46" s="270"/>
      <c r="AH46" s="270"/>
      <c r="AI46" s="270"/>
      <c r="AJ46" s="11">
        <f t="shared" si="0"/>
        <v>0</v>
      </c>
    </row>
    <row r="47" spans="2:36" ht="15.75" thickBot="1">
      <c r="B47" s="338"/>
      <c r="C47" s="336"/>
      <c r="D47" s="271" t="s">
        <v>52</v>
      </c>
      <c r="E47" s="269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69"/>
      <c r="S47" s="269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11">
        <f t="shared" si="0"/>
        <v>0</v>
      </c>
    </row>
    <row r="48" spans="2:36" ht="15.75" thickBot="1">
      <c r="B48" s="338"/>
      <c r="C48" s="336"/>
      <c r="D48" s="16" t="s">
        <v>17</v>
      </c>
      <c r="E48" s="17">
        <f>SUM(E45:E47)</f>
        <v>0</v>
      </c>
      <c r="F48" s="17">
        <f t="shared" ref="F48:AJ48" si="7">SUM(F45:F47)</f>
        <v>0</v>
      </c>
      <c r="G48" s="17">
        <f t="shared" si="7"/>
        <v>0</v>
      </c>
      <c r="H48" s="17">
        <f t="shared" si="7"/>
        <v>0</v>
      </c>
      <c r="I48" s="17">
        <f t="shared" si="7"/>
        <v>0</v>
      </c>
      <c r="J48" s="17">
        <f t="shared" si="7"/>
        <v>0</v>
      </c>
      <c r="K48" s="17">
        <f t="shared" si="7"/>
        <v>0</v>
      </c>
      <c r="L48" s="17">
        <f t="shared" si="7"/>
        <v>0</v>
      </c>
      <c r="M48" s="17">
        <f t="shared" si="7"/>
        <v>0</v>
      </c>
      <c r="N48" s="17">
        <f t="shared" si="7"/>
        <v>0</v>
      </c>
      <c r="O48" s="17">
        <f t="shared" si="7"/>
        <v>0</v>
      </c>
      <c r="P48" s="17">
        <f t="shared" si="7"/>
        <v>0</v>
      </c>
      <c r="Q48" s="17">
        <f t="shared" si="7"/>
        <v>0</v>
      </c>
      <c r="R48" s="17">
        <f t="shared" si="7"/>
        <v>0</v>
      </c>
      <c r="S48" s="17">
        <f t="shared" si="7"/>
        <v>0</v>
      </c>
      <c r="T48" s="17">
        <f t="shared" si="7"/>
        <v>0</v>
      </c>
      <c r="U48" s="17">
        <f t="shared" si="7"/>
        <v>0</v>
      </c>
      <c r="V48" s="17">
        <f t="shared" si="7"/>
        <v>0</v>
      </c>
      <c r="W48" s="17">
        <f t="shared" si="7"/>
        <v>0</v>
      </c>
      <c r="X48" s="17">
        <f t="shared" si="7"/>
        <v>0</v>
      </c>
      <c r="Y48" s="17">
        <f t="shared" si="7"/>
        <v>0</v>
      </c>
      <c r="Z48" s="17">
        <f t="shared" si="7"/>
        <v>0</v>
      </c>
      <c r="AA48" s="17">
        <f t="shared" si="7"/>
        <v>0</v>
      </c>
      <c r="AB48" s="17">
        <f t="shared" si="7"/>
        <v>0</v>
      </c>
      <c r="AC48" s="17">
        <f t="shared" si="7"/>
        <v>0</v>
      </c>
      <c r="AD48" s="17">
        <f t="shared" si="7"/>
        <v>0</v>
      </c>
      <c r="AE48" s="17">
        <f t="shared" si="7"/>
        <v>0</v>
      </c>
      <c r="AF48" s="17">
        <f t="shared" si="7"/>
        <v>0</v>
      </c>
      <c r="AG48" s="17">
        <f t="shared" si="7"/>
        <v>0</v>
      </c>
      <c r="AH48" s="17">
        <f t="shared" si="7"/>
        <v>0</v>
      </c>
      <c r="AI48" s="17">
        <f t="shared" si="7"/>
        <v>0</v>
      </c>
      <c r="AJ48" s="17">
        <f t="shared" si="7"/>
        <v>0</v>
      </c>
    </row>
    <row r="49" spans="2:36" ht="15.75" thickBot="1">
      <c r="B49" s="338"/>
      <c r="C49" s="336" t="s">
        <v>65</v>
      </c>
      <c r="D49" s="271" t="s">
        <v>66</v>
      </c>
      <c r="E49" s="269"/>
      <c r="F49" s="270"/>
      <c r="G49" s="270"/>
      <c r="H49" s="270"/>
      <c r="I49" s="270"/>
      <c r="J49" s="270"/>
      <c r="K49" s="270"/>
      <c r="L49" s="270"/>
      <c r="M49" s="270"/>
      <c r="N49" s="270"/>
      <c r="O49" s="270"/>
      <c r="P49" s="270"/>
      <c r="Q49" s="270"/>
      <c r="R49" s="270"/>
      <c r="S49" s="270"/>
      <c r="T49" s="270"/>
      <c r="U49" s="270"/>
      <c r="V49" s="270"/>
      <c r="W49" s="270"/>
      <c r="X49" s="270"/>
      <c r="Y49" s="270"/>
      <c r="Z49" s="270"/>
      <c r="AA49" s="270"/>
      <c r="AB49" s="270"/>
      <c r="AC49" s="270"/>
      <c r="AD49" s="270"/>
      <c r="AE49" s="270"/>
      <c r="AF49" s="270"/>
      <c r="AG49" s="270"/>
      <c r="AH49" s="270"/>
      <c r="AI49" s="270"/>
      <c r="AJ49" s="11">
        <f t="shared" si="0"/>
        <v>0</v>
      </c>
    </row>
    <row r="50" spans="2:36" ht="15.75" thickBot="1">
      <c r="B50" s="338"/>
      <c r="C50" s="336"/>
      <c r="D50" s="271" t="s">
        <v>67</v>
      </c>
      <c r="E50" s="269"/>
      <c r="F50" s="270"/>
      <c r="G50" s="270"/>
      <c r="H50" s="270"/>
      <c r="I50" s="270"/>
      <c r="J50" s="270"/>
      <c r="K50" s="270"/>
      <c r="L50" s="270"/>
      <c r="M50" s="270"/>
      <c r="N50" s="270"/>
      <c r="O50" s="270"/>
      <c r="P50" s="270"/>
      <c r="Q50" s="270"/>
      <c r="R50" s="270"/>
      <c r="S50" s="270"/>
      <c r="T50" s="270"/>
      <c r="U50" s="270"/>
      <c r="V50" s="270"/>
      <c r="W50" s="270"/>
      <c r="X50" s="270"/>
      <c r="Y50" s="270"/>
      <c r="Z50" s="270"/>
      <c r="AA50" s="270"/>
      <c r="AB50" s="270"/>
      <c r="AC50" s="270"/>
      <c r="AD50" s="270"/>
      <c r="AE50" s="270"/>
      <c r="AF50" s="270"/>
      <c r="AG50" s="270"/>
      <c r="AH50" s="270"/>
      <c r="AI50" s="270"/>
      <c r="AJ50" s="11">
        <f t="shared" si="0"/>
        <v>0</v>
      </c>
    </row>
    <row r="51" spans="2:36" ht="15.75" thickBot="1">
      <c r="B51" s="338"/>
      <c r="C51" s="336"/>
      <c r="D51" s="271" t="s">
        <v>52</v>
      </c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69"/>
      <c r="Q51" s="269"/>
      <c r="R51" s="269"/>
      <c r="S51" s="269"/>
      <c r="T51" s="269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11">
        <f t="shared" si="0"/>
        <v>0</v>
      </c>
    </row>
    <row r="52" spans="2:36" ht="15.75" thickBot="1">
      <c r="B52" s="338"/>
      <c r="C52" s="336"/>
      <c r="D52" s="16" t="s">
        <v>17</v>
      </c>
      <c r="E52" s="17">
        <f>SUM(E49:E51)</f>
        <v>0</v>
      </c>
      <c r="F52" s="17">
        <f t="shared" ref="F52:AJ52" si="8">SUM(F49:F51)</f>
        <v>0</v>
      </c>
      <c r="G52" s="17">
        <f t="shared" si="8"/>
        <v>0</v>
      </c>
      <c r="H52" s="17">
        <f t="shared" si="8"/>
        <v>0</v>
      </c>
      <c r="I52" s="17">
        <f t="shared" si="8"/>
        <v>0</v>
      </c>
      <c r="J52" s="17">
        <f t="shared" si="8"/>
        <v>0</v>
      </c>
      <c r="K52" s="17">
        <f t="shared" si="8"/>
        <v>0</v>
      </c>
      <c r="L52" s="17">
        <f t="shared" si="8"/>
        <v>0</v>
      </c>
      <c r="M52" s="17">
        <f t="shared" si="8"/>
        <v>0</v>
      </c>
      <c r="N52" s="17">
        <f t="shared" si="8"/>
        <v>0</v>
      </c>
      <c r="O52" s="17">
        <f t="shared" si="8"/>
        <v>0</v>
      </c>
      <c r="P52" s="17">
        <f t="shared" si="8"/>
        <v>0</v>
      </c>
      <c r="Q52" s="17">
        <f t="shared" si="8"/>
        <v>0</v>
      </c>
      <c r="R52" s="17">
        <f t="shared" si="8"/>
        <v>0</v>
      </c>
      <c r="S52" s="17">
        <f t="shared" si="8"/>
        <v>0</v>
      </c>
      <c r="T52" s="17">
        <f t="shared" si="8"/>
        <v>0</v>
      </c>
      <c r="U52" s="17">
        <f t="shared" si="8"/>
        <v>0</v>
      </c>
      <c r="V52" s="17">
        <f t="shared" si="8"/>
        <v>0</v>
      </c>
      <c r="W52" s="17">
        <f t="shared" si="8"/>
        <v>0</v>
      </c>
      <c r="X52" s="17">
        <f t="shared" si="8"/>
        <v>0</v>
      </c>
      <c r="Y52" s="17">
        <f t="shared" si="8"/>
        <v>0</v>
      </c>
      <c r="Z52" s="17">
        <f t="shared" si="8"/>
        <v>0</v>
      </c>
      <c r="AA52" s="17">
        <f t="shared" si="8"/>
        <v>0</v>
      </c>
      <c r="AB52" s="17">
        <f t="shared" si="8"/>
        <v>0</v>
      </c>
      <c r="AC52" s="17">
        <f t="shared" si="8"/>
        <v>0</v>
      </c>
      <c r="AD52" s="17">
        <f t="shared" si="8"/>
        <v>0</v>
      </c>
      <c r="AE52" s="17">
        <f t="shared" si="8"/>
        <v>0</v>
      </c>
      <c r="AF52" s="17">
        <f t="shared" si="8"/>
        <v>0</v>
      </c>
      <c r="AG52" s="17">
        <f t="shared" si="8"/>
        <v>0</v>
      </c>
      <c r="AH52" s="17">
        <f t="shared" si="8"/>
        <v>0</v>
      </c>
      <c r="AI52" s="17">
        <f t="shared" si="8"/>
        <v>0</v>
      </c>
      <c r="AJ52" s="17">
        <f t="shared" si="8"/>
        <v>0</v>
      </c>
    </row>
    <row r="53" spans="2:36" ht="15.75" thickBot="1">
      <c r="B53" s="338"/>
      <c r="C53" s="336" t="s">
        <v>68</v>
      </c>
      <c r="D53" s="271" t="s">
        <v>69</v>
      </c>
      <c r="E53" s="269"/>
      <c r="F53" s="270"/>
      <c r="G53" s="270"/>
      <c r="H53" s="270"/>
      <c r="I53" s="270"/>
      <c r="J53" s="270"/>
      <c r="K53" s="270"/>
      <c r="L53" s="270"/>
      <c r="M53" s="270"/>
      <c r="N53" s="270"/>
      <c r="O53" s="270"/>
      <c r="P53" s="270"/>
      <c r="Q53" s="270"/>
      <c r="R53" s="270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  <c r="AC53" s="270"/>
      <c r="AD53" s="270"/>
      <c r="AE53" s="270"/>
      <c r="AF53" s="270"/>
      <c r="AG53" s="270"/>
      <c r="AH53" s="270"/>
      <c r="AI53" s="270"/>
      <c r="AJ53" s="11">
        <f t="shared" si="0"/>
        <v>0</v>
      </c>
    </row>
    <row r="54" spans="2:36" ht="15.75" thickBot="1">
      <c r="B54" s="338"/>
      <c r="C54" s="336"/>
      <c r="D54" s="271" t="s">
        <v>70</v>
      </c>
      <c r="E54" s="269"/>
      <c r="F54" s="270"/>
      <c r="G54" s="270"/>
      <c r="H54" s="270"/>
      <c r="I54" s="270"/>
      <c r="J54" s="270"/>
      <c r="K54" s="270"/>
      <c r="L54" s="270"/>
      <c r="M54" s="270"/>
      <c r="N54" s="270"/>
      <c r="O54" s="270"/>
      <c r="P54" s="270"/>
      <c r="Q54" s="270"/>
      <c r="R54" s="270"/>
      <c r="S54" s="270"/>
      <c r="T54" s="270"/>
      <c r="U54" s="270"/>
      <c r="V54" s="270"/>
      <c r="W54" s="270"/>
      <c r="X54" s="270"/>
      <c r="Y54" s="270"/>
      <c r="Z54" s="270"/>
      <c r="AA54" s="270"/>
      <c r="AB54" s="270"/>
      <c r="AC54" s="270"/>
      <c r="AD54" s="270"/>
      <c r="AE54" s="270"/>
      <c r="AF54" s="270"/>
      <c r="AG54" s="270"/>
      <c r="AH54" s="270"/>
      <c r="AI54" s="270"/>
      <c r="AJ54" s="11">
        <f t="shared" si="0"/>
        <v>0</v>
      </c>
    </row>
    <row r="55" spans="2:36" ht="15.75" thickBot="1">
      <c r="B55" s="338"/>
      <c r="C55" s="336"/>
      <c r="D55" s="271" t="s">
        <v>71</v>
      </c>
      <c r="E55" s="269"/>
      <c r="F55" s="270"/>
      <c r="G55" s="270"/>
      <c r="H55" s="270"/>
      <c r="I55" s="270"/>
      <c r="J55" s="270"/>
      <c r="K55" s="270"/>
      <c r="L55" s="270"/>
      <c r="M55" s="270"/>
      <c r="N55" s="270"/>
      <c r="O55" s="270"/>
      <c r="P55" s="270"/>
      <c r="Q55" s="270"/>
      <c r="R55" s="270"/>
      <c r="S55" s="270"/>
      <c r="T55" s="270"/>
      <c r="U55" s="270"/>
      <c r="V55" s="270"/>
      <c r="W55" s="270"/>
      <c r="X55" s="270"/>
      <c r="Y55" s="270"/>
      <c r="Z55" s="270"/>
      <c r="AA55" s="270"/>
      <c r="AB55" s="270"/>
      <c r="AC55" s="270"/>
      <c r="AD55" s="270"/>
      <c r="AE55" s="270"/>
      <c r="AF55" s="270"/>
      <c r="AG55" s="270"/>
      <c r="AH55" s="270"/>
      <c r="AI55" s="270"/>
      <c r="AJ55" s="11">
        <f t="shared" si="0"/>
        <v>0</v>
      </c>
    </row>
    <row r="56" spans="2:36" ht="15.75" thickBot="1">
      <c r="B56" s="338"/>
      <c r="C56" s="336"/>
      <c r="D56" s="271" t="s">
        <v>52</v>
      </c>
      <c r="E56" s="269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269"/>
      <c r="Q56" s="269"/>
      <c r="R56" s="269"/>
      <c r="S56" s="269"/>
      <c r="T56" s="269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11">
        <f t="shared" si="0"/>
        <v>0</v>
      </c>
    </row>
    <row r="57" spans="2:36" ht="15.75" thickBot="1">
      <c r="B57" s="338"/>
      <c r="C57" s="336"/>
      <c r="D57" s="16" t="s">
        <v>17</v>
      </c>
      <c r="E57" s="17">
        <f>SUM(E53:E56)</f>
        <v>0</v>
      </c>
      <c r="F57" s="17">
        <f t="shared" ref="F57:AJ57" si="9">SUM(F53:F56)</f>
        <v>0</v>
      </c>
      <c r="G57" s="17">
        <f t="shared" si="9"/>
        <v>0</v>
      </c>
      <c r="H57" s="17">
        <f t="shared" si="9"/>
        <v>0</v>
      </c>
      <c r="I57" s="17">
        <f t="shared" si="9"/>
        <v>0</v>
      </c>
      <c r="J57" s="17">
        <f t="shared" si="9"/>
        <v>0</v>
      </c>
      <c r="K57" s="17">
        <f t="shared" si="9"/>
        <v>0</v>
      </c>
      <c r="L57" s="17">
        <f t="shared" si="9"/>
        <v>0</v>
      </c>
      <c r="M57" s="17">
        <f t="shared" si="9"/>
        <v>0</v>
      </c>
      <c r="N57" s="17">
        <f t="shared" si="9"/>
        <v>0</v>
      </c>
      <c r="O57" s="17">
        <f t="shared" si="9"/>
        <v>0</v>
      </c>
      <c r="P57" s="17">
        <f t="shared" si="9"/>
        <v>0</v>
      </c>
      <c r="Q57" s="17">
        <f t="shared" si="9"/>
        <v>0</v>
      </c>
      <c r="R57" s="17">
        <f t="shared" si="9"/>
        <v>0</v>
      </c>
      <c r="S57" s="17">
        <f t="shared" si="9"/>
        <v>0</v>
      </c>
      <c r="T57" s="17">
        <f t="shared" si="9"/>
        <v>0</v>
      </c>
      <c r="U57" s="17">
        <f t="shared" si="9"/>
        <v>0</v>
      </c>
      <c r="V57" s="17">
        <f t="shared" si="9"/>
        <v>0</v>
      </c>
      <c r="W57" s="17">
        <f t="shared" si="9"/>
        <v>0</v>
      </c>
      <c r="X57" s="17">
        <f t="shared" si="9"/>
        <v>0</v>
      </c>
      <c r="Y57" s="17">
        <f t="shared" si="9"/>
        <v>0</v>
      </c>
      <c r="Z57" s="17">
        <f t="shared" si="9"/>
        <v>0</v>
      </c>
      <c r="AA57" s="17">
        <f t="shared" si="9"/>
        <v>0</v>
      </c>
      <c r="AB57" s="17">
        <f t="shared" si="9"/>
        <v>0</v>
      </c>
      <c r="AC57" s="17">
        <f t="shared" si="9"/>
        <v>0</v>
      </c>
      <c r="AD57" s="17">
        <f t="shared" si="9"/>
        <v>0</v>
      </c>
      <c r="AE57" s="17">
        <f t="shared" si="9"/>
        <v>0</v>
      </c>
      <c r="AF57" s="17">
        <f t="shared" si="9"/>
        <v>0</v>
      </c>
      <c r="AG57" s="17">
        <f t="shared" si="9"/>
        <v>0</v>
      </c>
      <c r="AH57" s="17">
        <f t="shared" si="9"/>
        <v>0</v>
      </c>
      <c r="AI57" s="17">
        <f t="shared" si="9"/>
        <v>0</v>
      </c>
      <c r="AJ57" s="17">
        <f t="shared" si="9"/>
        <v>0</v>
      </c>
    </row>
    <row r="58" spans="2:36" ht="15.75" thickBot="1">
      <c r="B58" s="338"/>
      <c r="C58" s="336" t="s">
        <v>107</v>
      </c>
      <c r="D58" s="275" t="s">
        <v>88</v>
      </c>
      <c r="E58" s="269"/>
      <c r="F58" s="270"/>
      <c r="G58" s="270"/>
      <c r="H58" s="270"/>
      <c r="I58" s="270"/>
      <c r="J58" s="270"/>
      <c r="K58" s="270"/>
      <c r="L58" s="270"/>
      <c r="M58" s="270"/>
      <c r="N58" s="270"/>
      <c r="O58" s="270"/>
      <c r="P58" s="270"/>
      <c r="Q58" s="270"/>
      <c r="R58" s="270"/>
      <c r="S58" s="270"/>
      <c r="T58" s="270"/>
      <c r="U58" s="270"/>
      <c r="V58" s="270"/>
      <c r="W58" s="270"/>
      <c r="X58" s="270"/>
      <c r="Y58" s="270"/>
      <c r="Z58" s="270"/>
      <c r="AA58" s="270"/>
      <c r="AB58" s="270"/>
      <c r="AC58" s="270"/>
      <c r="AD58" s="270"/>
      <c r="AE58" s="270"/>
      <c r="AF58" s="270"/>
      <c r="AG58" s="270"/>
      <c r="AH58" s="270"/>
      <c r="AI58" s="270"/>
      <c r="AJ58" s="11">
        <f t="shared" si="0"/>
        <v>0</v>
      </c>
    </row>
    <row r="59" spans="2:36" ht="15.75" thickBot="1">
      <c r="B59" s="338"/>
      <c r="C59" s="336"/>
      <c r="D59" s="275" t="s">
        <v>89</v>
      </c>
      <c r="E59" s="269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270"/>
      <c r="Q59" s="27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  <c r="AC59" s="270"/>
      <c r="AD59" s="270"/>
      <c r="AE59" s="270"/>
      <c r="AF59" s="270"/>
      <c r="AG59" s="270"/>
      <c r="AH59" s="270"/>
      <c r="AI59" s="270"/>
      <c r="AJ59" s="11">
        <f t="shared" si="0"/>
        <v>0</v>
      </c>
    </row>
    <row r="60" spans="2:36" ht="15.75" thickBot="1">
      <c r="B60" s="338"/>
      <c r="C60" s="336"/>
      <c r="D60" s="275" t="s">
        <v>52</v>
      </c>
      <c r="E60" s="269"/>
      <c r="F60" s="269"/>
      <c r="G60" s="269"/>
      <c r="H60" s="269"/>
      <c r="I60" s="269"/>
      <c r="J60" s="269"/>
      <c r="K60" s="269"/>
      <c r="L60" s="269"/>
      <c r="M60" s="269"/>
      <c r="N60" s="269"/>
      <c r="O60" s="269"/>
      <c r="P60" s="269"/>
      <c r="Q60" s="269"/>
      <c r="R60" s="269"/>
      <c r="S60" s="269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11">
        <f t="shared" si="0"/>
        <v>0</v>
      </c>
    </row>
    <row r="61" spans="2:36" ht="15.75" thickBot="1">
      <c r="B61" s="338"/>
      <c r="C61" s="336"/>
      <c r="D61" s="18" t="s">
        <v>17</v>
      </c>
      <c r="E61" s="17">
        <f>SUM(E58:E60)</f>
        <v>0</v>
      </c>
      <c r="F61" s="17">
        <f t="shared" ref="F61:AJ61" si="10">SUM(F58:F60)</f>
        <v>0</v>
      </c>
      <c r="G61" s="17">
        <f t="shared" si="10"/>
        <v>0</v>
      </c>
      <c r="H61" s="17">
        <f t="shared" si="10"/>
        <v>0</v>
      </c>
      <c r="I61" s="17">
        <f t="shared" si="10"/>
        <v>0</v>
      </c>
      <c r="J61" s="17">
        <f t="shared" si="10"/>
        <v>0</v>
      </c>
      <c r="K61" s="17">
        <f t="shared" si="10"/>
        <v>0</v>
      </c>
      <c r="L61" s="17">
        <f t="shared" si="10"/>
        <v>0</v>
      </c>
      <c r="M61" s="17">
        <f t="shared" si="10"/>
        <v>0</v>
      </c>
      <c r="N61" s="17">
        <f t="shared" si="10"/>
        <v>0</v>
      </c>
      <c r="O61" s="17">
        <f t="shared" si="10"/>
        <v>0</v>
      </c>
      <c r="P61" s="17">
        <f t="shared" si="10"/>
        <v>0</v>
      </c>
      <c r="Q61" s="17">
        <f t="shared" si="10"/>
        <v>0</v>
      </c>
      <c r="R61" s="17">
        <f t="shared" si="10"/>
        <v>0</v>
      </c>
      <c r="S61" s="17">
        <f t="shared" si="10"/>
        <v>0</v>
      </c>
      <c r="T61" s="17">
        <f t="shared" si="10"/>
        <v>0</v>
      </c>
      <c r="U61" s="17">
        <f t="shared" si="10"/>
        <v>0</v>
      </c>
      <c r="V61" s="17">
        <f t="shared" si="10"/>
        <v>0</v>
      </c>
      <c r="W61" s="17">
        <f t="shared" si="10"/>
        <v>0</v>
      </c>
      <c r="X61" s="17">
        <f t="shared" si="10"/>
        <v>0</v>
      </c>
      <c r="Y61" s="17">
        <f t="shared" si="10"/>
        <v>0</v>
      </c>
      <c r="Z61" s="17">
        <f t="shared" si="10"/>
        <v>0</v>
      </c>
      <c r="AA61" s="17">
        <f t="shared" si="10"/>
        <v>0</v>
      </c>
      <c r="AB61" s="17">
        <f t="shared" si="10"/>
        <v>0</v>
      </c>
      <c r="AC61" s="17">
        <f t="shared" si="10"/>
        <v>0</v>
      </c>
      <c r="AD61" s="17">
        <f t="shared" si="10"/>
        <v>0</v>
      </c>
      <c r="AE61" s="17">
        <f t="shared" si="10"/>
        <v>0</v>
      </c>
      <c r="AF61" s="17">
        <f t="shared" si="10"/>
        <v>0</v>
      </c>
      <c r="AG61" s="17">
        <f t="shared" si="10"/>
        <v>0</v>
      </c>
      <c r="AH61" s="17">
        <f t="shared" si="10"/>
        <v>0</v>
      </c>
      <c r="AI61" s="17">
        <f t="shared" si="10"/>
        <v>0</v>
      </c>
      <c r="AJ61" s="17">
        <f t="shared" si="10"/>
        <v>0</v>
      </c>
    </row>
    <row r="62" spans="2:36" ht="15.75" thickBot="1">
      <c r="B62" s="338"/>
      <c r="C62" s="336" t="s">
        <v>72</v>
      </c>
      <c r="D62" s="275" t="s">
        <v>73</v>
      </c>
      <c r="E62" s="269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0"/>
      <c r="T62" s="270"/>
      <c r="U62" s="270"/>
      <c r="V62" s="270"/>
      <c r="W62" s="270"/>
      <c r="X62" s="270"/>
      <c r="Y62" s="270"/>
      <c r="Z62" s="270"/>
      <c r="AA62" s="270"/>
      <c r="AB62" s="270"/>
      <c r="AC62" s="270"/>
      <c r="AD62" s="270"/>
      <c r="AE62" s="270"/>
      <c r="AF62" s="270"/>
      <c r="AG62" s="270"/>
      <c r="AH62" s="270"/>
      <c r="AI62" s="270"/>
      <c r="AJ62" s="11">
        <f t="shared" si="0"/>
        <v>0</v>
      </c>
    </row>
    <row r="63" spans="2:36" ht="15.75" thickBot="1">
      <c r="B63" s="338"/>
      <c r="C63" s="336"/>
      <c r="D63" s="269" t="s">
        <v>56</v>
      </c>
      <c r="E63" s="270"/>
      <c r="F63" s="270"/>
      <c r="G63" s="270"/>
      <c r="H63" s="270"/>
      <c r="I63" s="270"/>
      <c r="J63" s="270"/>
      <c r="K63" s="270"/>
      <c r="L63" s="270"/>
      <c r="M63" s="270"/>
      <c r="N63" s="270"/>
      <c r="O63" s="270"/>
      <c r="P63" s="270"/>
      <c r="Q63" s="270"/>
      <c r="R63" s="270"/>
      <c r="S63" s="270"/>
      <c r="T63" s="270"/>
      <c r="U63" s="270"/>
      <c r="V63" s="270"/>
      <c r="W63" s="270"/>
      <c r="X63" s="270"/>
      <c r="Y63" s="270"/>
      <c r="Z63" s="270"/>
      <c r="AA63" s="270"/>
      <c r="AB63" s="270"/>
      <c r="AC63" s="270"/>
      <c r="AD63" s="270"/>
      <c r="AE63" s="270"/>
      <c r="AF63" s="270"/>
      <c r="AG63" s="270"/>
      <c r="AH63" s="270"/>
      <c r="AI63" s="270"/>
      <c r="AJ63" s="11">
        <f t="shared" si="0"/>
        <v>0</v>
      </c>
    </row>
    <row r="64" spans="2:36" ht="15.75" thickBot="1">
      <c r="B64" s="338"/>
      <c r="C64" s="336"/>
      <c r="D64" s="269" t="s">
        <v>52</v>
      </c>
      <c r="E64" s="270"/>
      <c r="F64" s="270"/>
      <c r="G64" s="270"/>
      <c r="H64" s="270"/>
      <c r="I64" s="270"/>
      <c r="J64" s="270"/>
      <c r="K64" s="270"/>
      <c r="L64" s="270"/>
      <c r="M64" s="270"/>
      <c r="N64" s="270"/>
      <c r="O64" s="270"/>
      <c r="P64" s="270"/>
      <c r="Q64" s="270"/>
      <c r="R64" s="270"/>
      <c r="S64" s="270"/>
      <c r="T64" s="270"/>
      <c r="U64" s="270"/>
      <c r="V64" s="270"/>
      <c r="W64" s="270"/>
      <c r="X64" s="270"/>
      <c r="Y64" s="270"/>
      <c r="Z64" s="270"/>
      <c r="AA64" s="270"/>
      <c r="AB64" s="270"/>
      <c r="AC64" s="270"/>
      <c r="AD64" s="270"/>
      <c r="AE64" s="270"/>
      <c r="AF64" s="270"/>
      <c r="AG64" s="270"/>
      <c r="AH64" s="270"/>
      <c r="AI64" s="270"/>
      <c r="AJ64" s="11">
        <f t="shared" si="0"/>
        <v>0</v>
      </c>
    </row>
    <row r="65" spans="2:36" ht="15.75" thickBot="1">
      <c r="B65" s="338"/>
      <c r="C65" s="336"/>
      <c r="D65" s="17" t="s">
        <v>17</v>
      </c>
      <c r="E65" s="19">
        <f>SUM(E62:E64)</f>
        <v>0</v>
      </c>
      <c r="F65" s="19">
        <f t="shared" ref="F65:AJ65" si="11">SUM(F62:F64)</f>
        <v>0</v>
      </c>
      <c r="G65" s="19">
        <f t="shared" si="11"/>
        <v>0</v>
      </c>
      <c r="H65" s="19">
        <f t="shared" si="11"/>
        <v>0</v>
      </c>
      <c r="I65" s="19">
        <f t="shared" si="11"/>
        <v>0</v>
      </c>
      <c r="J65" s="19">
        <f t="shared" si="11"/>
        <v>0</v>
      </c>
      <c r="K65" s="19">
        <f t="shared" si="11"/>
        <v>0</v>
      </c>
      <c r="L65" s="19">
        <f t="shared" si="11"/>
        <v>0</v>
      </c>
      <c r="M65" s="19">
        <f t="shared" si="11"/>
        <v>0</v>
      </c>
      <c r="N65" s="19">
        <f t="shared" si="11"/>
        <v>0</v>
      </c>
      <c r="O65" s="19">
        <f t="shared" si="11"/>
        <v>0</v>
      </c>
      <c r="P65" s="19">
        <f t="shared" si="11"/>
        <v>0</v>
      </c>
      <c r="Q65" s="19">
        <f t="shared" si="11"/>
        <v>0</v>
      </c>
      <c r="R65" s="19">
        <f t="shared" si="11"/>
        <v>0</v>
      </c>
      <c r="S65" s="19">
        <f t="shared" si="11"/>
        <v>0</v>
      </c>
      <c r="T65" s="19">
        <f t="shared" si="11"/>
        <v>0</v>
      </c>
      <c r="U65" s="19">
        <f t="shared" si="11"/>
        <v>0</v>
      </c>
      <c r="V65" s="19">
        <f t="shared" si="11"/>
        <v>0</v>
      </c>
      <c r="W65" s="19">
        <f t="shared" si="11"/>
        <v>0</v>
      </c>
      <c r="X65" s="19">
        <f t="shared" si="11"/>
        <v>0</v>
      </c>
      <c r="Y65" s="19">
        <f t="shared" si="11"/>
        <v>0</v>
      </c>
      <c r="Z65" s="19">
        <f t="shared" si="11"/>
        <v>0</v>
      </c>
      <c r="AA65" s="19">
        <f t="shared" si="11"/>
        <v>0</v>
      </c>
      <c r="AB65" s="19">
        <f t="shared" si="11"/>
        <v>0</v>
      </c>
      <c r="AC65" s="19">
        <f t="shared" si="11"/>
        <v>0</v>
      </c>
      <c r="AD65" s="19">
        <f t="shared" si="11"/>
        <v>0</v>
      </c>
      <c r="AE65" s="19">
        <f t="shared" si="11"/>
        <v>0</v>
      </c>
      <c r="AF65" s="19">
        <f t="shared" si="11"/>
        <v>0</v>
      </c>
      <c r="AG65" s="19">
        <f t="shared" si="11"/>
        <v>0</v>
      </c>
      <c r="AH65" s="19">
        <f t="shared" si="11"/>
        <v>0</v>
      </c>
      <c r="AI65" s="19">
        <f t="shared" si="11"/>
        <v>0</v>
      </c>
      <c r="AJ65" s="19">
        <f t="shared" si="11"/>
        <v>0</v>
      </c>
    </row>
    <row r="66" spans="2:36">
      <c r="B66" s="5"/>
      <c r="C66" s="5"/>
      <c r="D66" s="14" t="s">
        <v>104</v>
      </c>
      <c r="E66" s="14">
        <f t="shared" ref="E66:AI66" si="12">SUM(E13,E23,E27,E32,E36,E44,E48,E52,E57,E61,E65)</f>
        <v>0</v>
      </c>
      <c r="F66" s="14">
        <f t="shared" si="12"/>
        <v>0</v>
      </c>
      <c r="G66" s="14">
        <f t="shared" si="12"/>
        <v>0</v>
      </c>
      <c r="H66" s="14">
        <f t="shared" si="12"/>
        <v>0</v>
      </c>
      <c r="I66" s="14">
        <f t="shared" si="12"/>
        <v>0</v>
      </c>
      <c r="J66" s="14">
        <f t="shared" si="12"/>
        <v>0</v>
      </c>
      <c r="K66" s="14">
        <f t="shared" si="12"/>
        <v>0</v>
      </c>
      <c r="L66" s="14">
        <f t="shared" si="12"/>
        <v>0</v>
      </c>
      <c r="M66" s="14">
        <f t="shared" si="12"/>
        <v>0</v>
      </c>
      <c r="N66" s="14">
        <f t="shared" si="12"/>
        <v>0</v>
      </c>
      <c r="O66" s="14">
        <f t="shared" si="12"/>
        <v>0</v>
      </c>
      <c r="P66" s="14">
        <f t="shared" si="12"/>
        <v>0</v>
      </c>
      <c r="Q66" s="14">
        <f t="shared" si="12"/>
        <v>0</v>
      </c>
      <c r="R66" s="14">
        <f t="shared" si="12"/>
        <v>0</v>
      </c>
      <c r="S66" s="14">
        <f t="shared" si="12"/>
        <v>0</v>
      </c>
      <c r="T66" s="14">
        <f t="shared" si="12"/>
        <v>0</v>
      </c>
      <c r="U66" s="14">
        <f t="shared" si="12"/>
        <v>0</v>
      </c>
      <c r="V66" s="14">
        <f t="shared" si="12"/>
        <v>0</v>
      </c>
      <c r="W66" s="14">
        <f t="shared" si="12"/>
        <v>0</v>
      </c>
      <c r="X66" s="14">
        <f t="shared" si="12"/>
        <v>0</v>
      </c>
      <c r="Y66" s="14">
        <f t="shared" si="12"/>
        <v>0</v>
      </c>
      <c r="Z66" s="14">
        <f t="shared" si="12"/>
        <v>0</v>
      </c>
      <c r="AA66" s="14">
        <f t="shared" si="12"/>
        <v>0</v>
      </c>
      <c r="AB66" s="14">
        <f t="shared" si="12"/>
        <v>0</v>
      </c>
      <c r="AC66" s="14">
        <f t="shared" si="12"/>
        <v>0</v>
      </c>
      <c r="AD66" s="14">
        <f t="shared" si="12"/>
        <v>0</v>
      </c>
      <c r="AE66" s="14">
        <f t="shared" si="12"/>
        <v>0</v>
      </c>
      <c r="AF66" s="14">
        <f t="shared" si="12"/>
        <v>0</v>
      </c>
      <c r="AG66" s="14">
        <f t="shared" si="12"/>
        <v>0</v>
      </c>
      <c r="AH66" s="14">
        <f t="shared" si="12"/>
        <v>0</v>
      </c>
      <c r="AI66" s="14">
        <f t="shared" si="12"/>
        <v>0</v>
      </c>
      <c r="AJ66" s="27">
        <f t="shared" si="0"/>
        <v>0</v>
      </c>
    </row>
  </sheetData>
  <mergeCells count="13">
    <mergeCell ref="B2:AJ2"/>
    <mergeCell ref="B5:B65"/>
    <mergeCell ref="C37:C44"/>
    <mergeCell ref="C45:C48"/>
    <mergeCell ref="C49:C52"/>
    <mergeCell ref="C53:C57"/>
    <mergeCell ref="C58:C61"/>
    <mergeCell ref="C62:C65"/>
    <mergeCell ref="C5:C13"/>
    <mergeCell ref="C14:C23"/>
    <mergeCell ref="C24:C27"/>
    <mergeCell ref="C28:C32"/>
    <mergeCell ref="C33:C36"/>
  </mergeCells>
  <conditionalFormatting sqref="E28:AI31 E33:AI35 E37:AI43 E45:AI47 E49:AI51 E53:AI56 E58:AI60 E62:AI64">
    <cfRule type="notContainsBlanks" dxfId="2" priority="3">
      <formula>LEN(TRIM(E28))&gt;0</formula>
    </cfRule>
  </conditionalFormatting>
  <conditionalFormatting sqref="D5:D12 D14:D22 D24:D26 D28:D31 D33:D35 D37:D43 D45:D47 D49:D51 D53:D56 D58:D60 D62:D64">
    <cfRule type="notContainsBlanks" dxfId="1" priority="2">
      <formula>LEN(TRIM(D5))&gt;0</formula>
    </cfRule>
  </conditionalFormatting>
  <conditionalFormatting sqref="E5:AI12 E14:AI22 E24:AI26">
    <cfRule type="notContainsBlanks" dxfId="0" priority="1">
      <formula>LEN(TRIM(E5))&gt;0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Geral</vt:lpstr>
      <vt:lpstr>Receita</vt:lpstr>
      <vt:lpstr>Gráficos Receita</vt:lpstr>
      <vt:lpstr>TabAux</vt:lpstr>
      <vt:lpstr>Gráficos Resultado</vt:lpstr>
      <vt:lpstr>Despesa Fixa</vt:lpstr>
      <vt:lpstr>Gráficos Despesa</vt:lpstr>
      <vt:lpstr>Investimentos</vt:lpstr>
      <vt:lpstr>Gráficos Investimentos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Maia Pretti</dc:creator>
  <cp:lastModifiedBy>Gustavo Campanha</cp:lastModifiedBy>
  <dcterms:created xsi:type="dcterms:W3CDTF">2019-01-07T17:08:40Z</dcterms:created>
  <dcterms:modified xsi:type="dcterms:W3CDTF">2021-01-25T02:40:21Z</dcterms:modified>
</cp:coreProperties>
</file>